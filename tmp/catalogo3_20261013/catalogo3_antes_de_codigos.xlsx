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201e1b47e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69c851e0e464459c"/>
    <x:sheet xmlns:r="http://schemas.openxmlformats.org/officeDocument/2006/relationships" name="Revisión origen" sheetId="2" r:id="R8f42b733d225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@"/>
    <x:numFmt numFmtId="202" formatCode="0"/>
  </x:numFmts>
  <x:fonts count="5">
    <x:font>
      <x:sz val="11"/>
      <x:name val="Carlito"/>
    </x:font>
    <x:font>
      <x:sz val="10"/>
      <x:color rgb="FF182C40"/>
      <x:name val="Arial"/>
    </x:font>
    <x:font>
      <x:b/>
      <x:sz val="10"/>
      <x:color rgb="FFFFFFFF"/>
      <x:name val="Arial"/>
    </x:font>
    <x:font>
      <x:b/>
      <x:sz val="16"/>
      <x:color rgb="FF163D68"/>
      <x:name val="Arial"/>
    </x:font>
    <x:font>
      <x:sz val="10"/>
      <x:color rgb="FF485F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D6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05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0909bd0c241a9" /><Relationship Type="http://schemas.openxmlformats.org/officeDocument/2006/relationships/theme" Target="/xl/theme/theme1.xml" Id="Rf4101b3f488940dc" /><Relationship Type="http://schemas.openxmlformats.org/officeDocument/2006/relationships/sharedStrings" Target="/xl/sharedStrings.xml" Id="R9988c5bf8c204af8" /><Relationship Type="http://schemas.openxmlformats.org/officeDocument/2006/relationships/worksheet" Target="/xl/worksheets/sheet1.xml" Id="R69c851e0e464459c" /><Relationship Type="http://schemas.openxmlformats.org/officeDocument/2006/relationships/worksheet" Target="/xl/worksheets/sheet2.xml" Id="R8f42b733d22542df" /></Relationships>
</file>

<file path=xl/tables/table1.xml><?xml version="1.0" encoding="utf-8"?>
<x:table xmlns:x="http://schemas.openxmlformats.org/spreadsheetml/2006/main" id="1" name="CatalogoParaCarga" displayName="CatalogoParaCarga" ref="A1:J192" headerRowCount="1" totalsRowCount="0" totalsRowShown="0">
  <x:tableColumns count="10">
    <x:tableColumn id="1" name="categoria"/>
    <x:tableColumn id="2" name="nombre_articulo"/>
    <x:tableColumn id="3" name="tipo_venta"/>
    <x:tableColumn id="4" name="unidad_venta"/>
    <x:tableColumn id="5" name="nombre_variante"/>
    <x:tableColumn id="6" name="precio_venta"/>
    <x:tableColumn id="7" name="precio_coste"/>
    <x:tableColumn id="8" name="seguimiento_existencias"/>
    <x:tableColumn id="9" name="existencias"/>
    <x:tableColumn id="10" name="codigo_barr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CatalogoOrigen" displayName="DetalleCatalogoOrigen" ref="A8:N199" headerRowCount="1" totalsRowCount="0" totalsRowShown="0">
  <x:tableColumns count="14">
    <x:tableColumn id="1" name="Renglón origen"/>
    <x:tableColumn id="2" name="Página"/>
    <x:tableColumn id="3" name="Sección de la lista"/>
    <x:tableColumn id="4" name="Producto en la lista"/>
    <x:tableColumn id="5" name="nombre_articulo"/>
    <x:tableColumn id="6" name="nombre_variante"/>
    <x:tableColumn id="7" name="Empaque de compra"/>
    <x:tableColumn id="8" name="Piezas por compra"/>
    <x:tableColumn id="9" name="Precio de compra MXN"/>
    <x:tableColumn id="10" name="Precio público MXN"/>
    <x:tableColumn id="11" name="Coste por pieza MXN"/>
    <x:tableColumn id="12" name="Utilidad por caja MXN"/>
    <x:tableColumn id="13" name="Observaciones"/>
    <x:tableColumn id="14" name="Vigencia de la lis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bc7246da0e41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3fe5d923784ecb" /></Relationships>
</file>

<file path=xl/worksheets/sheet1.xml><?xml version="1.0" encoding="utf-8"?>
<x:worksheet xmlns:x="http://schemas.openxmlformats.org/spreadsheetml/2006/main">
  <x:sheetPr>
    <x:tabColor rgb="FF163D6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63" hidden="0" customWidth="1"/>
    <x:col min="3" max="3" width="16" hidden="0" customWidth="1"/>
    <x:col min="4" max="4" width="18" hidden="0" customWidth="1"/>
    <x:col min="5" max="5" width="28" hidden="0" customWidth="1"/>
    <x:col min="6" max="6" width="19" hidden="0" customWidth="1"/>
    <x:col min="7" max="7" width="19" hidden="0" customWidth="1"/>
    <x:col min="8" max="8" width="27" hidden="0" customWidth="1"/>
    <x:col min="9" max="9" width="18" hidden="0" customWidth="1"/>
    <x:col min="10" max="10" width="24" hidden="0" customWidth="1"/>
  </x:cols>
  <x:sheetData>
    <x:row r="1" ht="40" customHeight="1">
      <x:c r="A1" s="6" t="str">
        <x:v>categoria</x:v>
      </x:c>
      <x:c r="B1" s="6" t="str">
        <x:v>nombre_articulo</x:v>
      </x:c>
      <x:c r="C1" s="6" t="str">
        <x:v>tipo_venta</x:v>
      </x:c>
      <x:c r="D1" s="6" t="str">
        <x:v>unidad_venta</x:v>
      </x:c>
      <x:c r="E1" s="6" t="str">
        <x:v>nombre_variante</x:v>
      </x:c>
      <x:c r="F1" s="6" t="str">
        <x:v>precio_venta</x:v>
      </x:c>
      <x:c r="G1" s="6" t="str">
        <x:v>precio_coste</x:v>
      </x:c>
      <x:c r="H1" s="6" t="str">
        <x:v>seguimiento_existencias</x:v>
      </x:c>
      <x:c r="I1" s="6" t="str">
        <x:v>existencias</x:v>
      </x:c>
      <x:c r="J1" s="6" t="str">
        <x:v>codigo_barras</x:v>
      </x:c>
    </x:row>
    <x:row r="2" ht="24" customHeight="1">
      <x:c r="A2" s="2"/>
      <x:c r="B2" s="2" t="str">
        <x:v>Bimbo Bimbuñuelos 6 p 99 g (Canela)</x:v>
      </x:c>
      <x:c r="C2" s="2" t="str">
        <x:v>unidad</x:v>
      </x:c>
      <x:c r="D2" s="2"/>
      <x:c r="E2" s="2"/>
      <x:c r="F2" s="7" t="n">
        <x:f>'Revisión origen'!J9</x:f>
        <x:v>22</x:v>
      </x:c>
      <x:c r="G2" s="7" t="n">
        <x:f>'Revisión origen'!K9</x:f>
        <x:v>18.26</x:v>
      </x:c>
      <x:c r="H2" s="2" t="str">
        <x:v>no</x:v>
      </x:c>
      <x:c r="I2" s="2"/>
      <x:c r="J2" s="8"/>
    </x:row>
    <x:row r="3" ht="24" customHeight="1">
      <x:c r="A3" s="2"/>
      <x:c r="B3" s="2" t="str">
        <x:v>Bimbo Colchones 6 p 130 g</x:v>
      </x:c>
      <x:c r="C3" s="2" t="str">
        <x:v>unidad</x:v>
      </x:c>
      <x:c r="D3" s="2"/>
      <x:c r="E3" s="2"/>
      <x:c r="F3" s="7" t="n">
        <x:f>'Revisión origen'!J10</x:f>
        <x:v>16</x:v>
      </x:c>
      <x:c r="G3" s="7" t="n">
        <x:f>'Revisión origen'!K10</x:f>
        <x:v>13.28</x:v>
      </x:c>
      <x:c r="H3" s="2" t="str">
        <x:v>no</x:v>
      </x:c>
      <x:c r="I3" s="2"/>
      <x:c r="J3" s="8"/>
    </x:row>
    <x:row r="4" ht="24" customHeight="1">
      <x:c r="A4" s="2"/>
      <x:c r="B4" s="2" t="str">
        <x:v>Bimbo Concha Vainilla 1 p 60 g</x:v>
      </x:c>
      <x:c r="C4" s="2" t="str">
        <x:v>unidad</x:v>
      </x:c>
      <x:c r="D4" s="2"/>
      <x:c r="E4" s="2"/>
      <x:c r="F4" s="7" t="n">
        <x:f>'Revisión origen'!J11</x:f>
        <x:v>10</x:v>
      </x:c>
      <x:c r="G4" s="7" t="n">
        <x:f>'Revisión origen'!K11</x:f>
        <x:v>8.3</x:v>
      </x:c>
      <x:c r="H4" s="2" t="str">
        <x:v>no</x:v>
      </x:c>
      <x:c r="I4" s="2"/>
      <x:c r="J4" s="8"/>
    </x:row>
    <x:row r="5" ht="24" customHeight="1">
      <x:c r="A5" s="2"/>
      <x:c r="B5" s="2" t="str">
        <x:v>Bimbo Conchas 2 p 120 g</x:v>
      </x:c>
      <x:c r="C5" s="2" t="str">
        <x:v>unidad</x:v>
      </x:c>
      <x:c r="D5" s="2"/>
      <x:c r="E5" s="2"/>
      <x:c r="F5" s="7" t="n">
        <x:f>'Revisión origen'!J12</x:f>
        <x:v>20</x:v>
      </x:c>
      <x:c r="G5" s="7" t="n">
        <x:f>'Revisión origen'!K12</x:f>
        <x:v>16.6</x:v>
      </x:c>
      <x:c r="H5" s="2" t="str">
        <x:v>no</x:v>
      </x:c>
      <x:c r="I5" s="2"/>
      <x:c r="J5" s="8"/>
    </x:row>
    <x:row r="6" ht="24" customHeight="1">
      <x:c r="A6" s="2"/>
      <x:c r="B6" s="2" t="str">
        <x:v>Bimbo Crossantines Choco 1 p 32 g</x:v>
      </x:c>
      <x:c r="C6" s="2" t="str">
        <x:v>unidad</x:v>
      </x:c>
      <x:c r="D6" s="2"/>
      <x:c r="E6" s="2"/>
      <x:c r="F6" s="7" t="n">
        <x:f>'Revisión origen'!J13</x:f>
        <x:v>8</x:v>
      </x:c>
      <x:c r="G6" s="7" t="n">
        <x:f>'Revisión origen'!K13</x:f>
        <x:v>6.64</x:v>
      </x:c>
      <x:c r="H6" s="2" t="str">
        <x:v>no</x:v>
      </x:c>
      <x:c r="I6" s="2"/>
      <x:c r="J6" s="8"/>
    </x:row>
    <x:row r="7" ht="24" customHeight="1">
      <x:c r="A7" s="2"/>
      <x:c r="B7" s="2" t="str">
        <x:v>Bimbo Crossantines Choco 3 p 96 g</x:v>
      </x:c>
      <x:c r="C7" s="2" t="str">
        <x:v>unidad</x:v>
      </x:c>
      <x:c r="D7" s="2"/>
      <x:c r="E7" s="2"/>
      <x:c r="F7" s="7" t="n">
        <x:f>'Revisión origen'!J14</x:f>
        <x:v>20</x:v>
      </x:c>
      <x:c r="G7" s="7" t="n">
        <x:f>'Revisión origen'!K14</x:f>
        <x:v>16.6</x:v>
      </x:c>
      <x:c r="H7" s="2" t="str">
        <x:v>no</x:v>
      </x:c>
      <x:c r="I7" s="2"/>
      <x:c r="J7" s="8"/>
    </x:row>
    <x:row r="8" ht="24" customHeight="1">
      <x:c r="A8" s="2"/>
      <x:c r="B8" s="2" t="str">
        <x:v>Bimbo Donas Azucaradas 6 p 158 g</x:v>
      </x:c>
      <x:c r="C8" s="2" t="str">
        <x:v>unidad</x:v>
      </x:c>
      <x:c r="D8" s="2"/>
      <x:c r="E8" s="2"/>
      <x:c r="F8" s="7" t="n">
        <x:f>'Revisión origen'!J15</x:f>
        <x:v>22</x:v>
      </x:c>
      <x:c r="G8" s="7" t="n">
        <x:f>'Revisión origen'!K15</x:f>
        <x:v>18.26</x:v>
      </x:c>
      <x:c r="H8" s="2" t="str">
        <x:v>no</x:v>
      </x:c>
      <x:c r="I8" s="2"/>
      <x:c r="J8" s="8"/>
    </x:row>
    <x:row r="9" ht="24" customHeight="1">
      <x:c r="A9" s="2"/>
      <x:c r="B9" s="2" t="str">
        <x:v>Bimbo Doners 120 g</x:v>
      </x:c>
      <x:c r="C9" s="2" t="str">
        <x:v>unidad</x:v>
      </x:c>
      <x:c r="D9" s="2"/>
      <x:c r="E9" s="2"/>
      <x:c r="F9" s="7" t="n">
        <x:f>'Revisión origen'!J16</x:f>
        <x:v>25</x:v>
      </x:c>
      <x:c r="G9" s="7" t="n">
        <x:f>'Revisión origen'!K16</x:f>
        <x:v>20.75</x:v>
      </x:c>
      <x:c r="H9" s="2" t="str">
        <x:v>no</x:v>
      </x:c>
      <x:c r="I9" s="2"/>
      <x:c r="J9" s="8"/>
    </x:row>
    <x:row r="10" ht="24" customHeight="1">
      <x:c r="A10" s="2"/>
      <x:c r="B10" s="2" t="str">
        <x:v>Bimbo Donitas Espolvoreadas 52.5 g</x:v>
      </x:c>
      <x:c r="C10" s="2" t="str">
        <x:v>unidad</x:v>
      </x:c>
      <x:c r="D10" s="2"/>
      <x:c r="E10" s="2"/>
      <x:c r="F10" s="7" t="n">
        <x:f>'Revisión origen'!J17</x:f>
        <x:v>10</x:v>
      </x:c>
      <x:c r="G10" s="7" t="n">
        <x:f>'Revisión origen'!K17</x:f>
        <x:v>8.3</x:v>
      </x:c>
      <x:c r="H10" s="2" t="str">
        <x:v>no</x:v>
      </x:c>
      <x:c r="I10" s="2"/>
      <x:c r="J10" s="8"/>
    </x:row>
    <x:row r="11" ht="24" customHeight="1">
      <x:c r="A11" s="2"/>
      <x:c r="B11" s="2" t="str">
        <x:v>Bimbo Donitas Espolvoreadas 8 p 140 g</x:v>
      </x:c>
      <x:c r="C11" s="2" t="str">
        <x:v>unidad</x:v>
      </x:c>
      <x:c r="D11" s="2"/>
      <x:c r="E11" s="2"/>
      <x:c r="F11" s="7" t="n">
        <x:f>'Revisión origen'!J18</x:f>
        <x:v>22</x:v>
      </x:c>
      <x:c r="G11" s="7" t="n">
        <x:f>'Revisión origen'!K18</x:f>
        <x:v>18.26</x:v>
      </x:c>
      <x:c r="H11" s="2" t="str">
        <x:v>no</x:v>
      </x:c>
      <x:c r="I11" s="2"/>
      <x:c r="J11" s="8"/>
    </x:row>
    <x:row r="12" ht="24" customHeight="1">
      <x:c r="A12" s="2"/>
      <x:c r="B12" s="2" t="str">
        <x:v>Bimbo Dúo Nito 124 g</x:v>
      </x:c>
      <x:c r="C12" s="2" t="str">
        <x:v>unidad</x:v>
      </x:c>
      <x:c r="D12" s="2"/>
      <x:c r="E12" s="2"/>
      <x:c r="F12" s="7" t="n">
        <x:f>'Revisión origen'!J19</x:f>
        <x:v>28</x:v>
      </x:c>
      <x:c r="G12" s="7" t="n">
        <x:f>'Revisión origen'!K19</x:f>
        <x:v>23.52</x:v>
      </x:c>
      <x:c r="H12" s="2" t="str">
        <x:v>no</x:v>
      </x:c>
      <x:c r="I12" s="2"/>
      <x:c r="J12" s="8"/>
    </x:row>
    <x:row r="13" ht="24" customHeight="1">
      <x:c r="A13" s="2"/>
      <x:c r="B13" s="2" t="str">
        <x:v>Bimbo Hotkis Cajeta 1 p 38 g</x:v>
      </x:c>
      <x:c r="C13" s="2" t="str">
        <x:v>unidad</x:v>
      </x:c>
      <x:c r="D13" s="2"/>
      <x:c r="E13" s="2"/>
      <x:c r="F13" s="7" t="n">
        <x:f>'Revisión origen'!J20</x:f>
        <x:v>8</x:v>
      </x:c>
      <x:c r="G13" s="7" t="n">
        <x:f>'Revisión origen'!K20</x:f>
        <x:v>6.64</x:v>
      </x:c>
      <x:c r="H13" s="2" t="str">
        <x:v>no</x:v>
      </x:c>
      <x:c r="I13" s="2"/>
      <x:c r="J13" s="8"/>
    </x:row>
    <x:row r="14" ht="24" customHeight="1">
      <x:c r="A14" s="2"/>
      <x:c r="B14" s="2" t="str">
        <x:v>Bimbo Little Bites Chispas 69 g</x:v>
      </x:c>
      <x:c r="C14" s="2" t="str">
        <x:v>unidad</x:v>
      </x:c>
      <x:c r="D14" s="2"/>
      <x:c r="E14" s="2"/>
      <x:c r="F14" s="7" t="n">
        <x:f>'Revisión origen'!J21</x:f>
        <x:v>15</x:v>
      </x:c>
      <x:c r="G14" s="7" t="n">
        <x:f>'Revisión origen'!K21</x:f>
        <x:v>12.45</x:v>
      </x:c>
      <x:c r="H14" s="2" t="str">
        <x:v>no</x:v>
      </x:c>
      <x:c r="I14" s="2"/>
      <x:c r="J14" s="8"/>
    </x:row>
    <x:row r="15" ht="24" customHeight="1">
      <x:c r="A15" s="2"/>
      <x:c r="B15" s="2" t="str">
        <x:v>Bimbo Madalenas 3 p 93 g</x:v>
      </x:c>
      <x:c r="C15" s="2" t="str">
        <x:v>unidad</x:v>
      </x:c>
      <x:c r="D15" s="2"/>
      <x:c r="E15" s="2"/>
      <x:c r="F15" s="7" t="n">
        <x:f>'Revisión origen'!J22</x:f>
        <x:v>22</x:v>
      </x:c>
      <x:c r="G15" s="7" t="n">
        <x:f>'Revisión origen'!K22</x:f>
        <x:v>18.26</x:v>
      </x:c>
      <x:c r="H15" s="2" t="str">
        <x:v>no</x:v>
      </x:c>
      <x:c r="I15" s="2"/>
      <x:c r="J15" s="8"/>
    </x:row>
    <x:row r="16" ht="24" customHeight="1">
      <x:c r="A16" s="2"/>
      <x:c r="B16" s="2" t="str">
        <x:v>Bimbo Mantecadas Vainilla 2 p 62.5 g</x:v>
      </x:c>
      <x:c r="C16" s="2" t="str">
        <x:v>unidad</x:v>
      </x:c>
      <x:c r="D16" s="2"/>
      <x:c r="E16" s="2"/>
      <x:c r="F16" s="7" t="n">
        <x:f>'Revisión origen'!J23</x:f>
        <x:v>12</x:v>
      </x:c>
      <x:c r="G16" s="7" t="n">
        <x:f>'Revisión origen'!K23</x:f>
        <x:v>9.96</x:v>
      </x:c>
      <x:c r="H16" s="2" t="str">
        <x:v>no</x:v>
      </x:c>
      <x:c r="I16" s="2"/>
      <x:c r="J16" s="8"/>
    </x:row>
    <x:row r="17" ht="24" customHeight="1">
      <x:c r="A17" s="2"/>
      <x:c r="B17" s="2" t="str">
        <x:v>Bimbo Mantecadas Chispas de Chocolate 190 g</x:v>
      </x:c>
      <x:c r="C17" s="2" t="str">
        <x:v>unidad</x:v>
      </x:c>
      <x:c r="D17" s="2"/>
      <x:c r="E17" s="2"/>
      <x:c r="F17" s="7" t="n">
        <x:f>'Revisión origen'!J24</x:f>
        <x:v>32</x:v>
      </x:c>
      <x:c r="G17" s="7" t="n">
        <x:f>'Revisión origen'!K24</x:f>
        <x:v>26.56</x:v>
      </x:c>
      <x:c r="H17" s="2" t="str">
        <x:v>no</x:v>
      </x:c>
      <x:c r="I17" s="2"/>
      <x:c r="J17" s="8"/>
    </x:row>
    <x:row r="18" ht="24" customHeight="1">
      <x:c r="A18" s="2"/>
      <x:c r="B18" s="2" t="str">
        <x:v>Bimbo Mantecadas 6 p</x:v>
      </x:c>
      <x:c r="C18" s="2" t="str">
        <x:v>unidad</x:v>
      </x:c>
      <x:c r="D18" s="2"/>
      <x:c r="E18" s="2" t="str">
        <x:v>Nuez 184 g</x:v>
      </x:c>
      <x:c r="F18" s="7" t="n">
        <x:f>'Revisión origen'!J25</x:f>
        <x:v>32</x:v>
      </x:c>
      <x:c r="G18" s="7" t="n">
        <x:f>'Revisión origen'!K25</x:f>
        <x:v>26.56</x:v>
      </x:c>
      <x:c r="H18" s="2" t="str">
        <x:v>no</x:v>
      </x:c>
      <x:c r="I18" s="2"/>
      <x:c r="J18" s="8"/>
    </x:row>
    <x:row r="19" ht="24" customHeight="1">
      <x:c r="A19" s="2"/>
      <x:c r="B19" s="2" t="str">
        <x:v>Bimbo Mantecadas 6 p</x:v>
      </x:c>
      <x:c r="C19" s="2" t="str">
        <x:v>unidad</x:v>
      </x:c>
      <x:c r="D19" s="2"/>
      <x:c r="E19" s="2" t="str">
        <x:v>Vainilla 188 g</x:v>
      </x:c>
      <x:c r="F19" s="7" t="n">
        <x:f>'Revisión origen'!J26</x:f>
        <x:v>32</x:v>
      </x:c>
      <x:c r="G19" s="7" t="n">
        <x:f>'Revisión origen'!K26</x:f>
        <x:v>26.56</x:v>
      </x:c>
      <x:c r="H19" s="2" t="str">
        <x:v>no</x:v>
      </x:c>
      <x:c r="I19" s="2"/>
      <x:c r="J19" s="8"/>
    </x:row>
    <x:row r="20" ht="24" customHeight="1">
      <x:c r="A20" s="2"/>
      <x:c r="B20" s="2" t="str">
        <x:v>Bimbo Mantechox Hershey's 2 p 80 g</x:v>
      </x:c>
      <x:c r="C20" s="2" t="str">
        <x:v>unidad</x:v>
      </x:c>
      <x:c r="D20" s="2"/>
      <x:c r="E20" s="2"/>
      <x:c r="F20" s="7" t="n">
        <x:f>'Revisión origen'!J27</x:f>
        <x:v>15</x:v>
      </x:c>
      <x:c r="G20" s="7" t="n">
        <x:f>'Revisión origen'!K27</x:f>
        <x:v>12.45</x:v>
      </x:c>
      <x:c r="H20" s="2" t="str">
        <x:v>no</x:v>
      </x:c>
      <x:c r="I20" s="2"/>
      <x:c r="J20" s="8"/>
    </x:row>
    <x:row r="21" ht="24" customHeight="1">
      <x:c r="A21" s="2"/>
      <x:c r="B21" s="2" t="str">
        <x:v>Bimbo Nito 1 p 62 g</x:v>
      </x:c>
      <x:c r="C21" s="2" t="str">
        <x:v>unidad</x:v>
      </x:c>
      <x:c r="D21" s="2"/>
      <x:c r="E21" s="2"/>
      <x:c r="F21" s="7" t="n">
        <x:f>'Revisión origen'!J28</x:f>
        <x:v>17</x:v>
      </x:c>
      <x:c r="G21" s="7" t="n">
        <x:f>'Revisión origen'!K28</x:f>
        <x:v>14.11</x:v>
      </x:c>
      <x:c r="H21" s="2" t="str">
        <x:v>no</x:v>
      </x:c>
      <x:c r="I21" s="2"/>
      <x:c r="J21" s="8"/>
    </x:row>
    <x:row r="22" ht="24" customHeight="1">
      <x:c r="A22" s="2"/>
      <x:c r="B22" s="2" t="str">
        <x:v>Bimbo Panqué 280 g</x:v>
      </x:c>
      <x:c r="C22" s="2" t="str">
        <x:v>unidad</x:v>
      </x:c>
      <x:c r="D22" s="2"/>
      <x:c r="E22" s="2" t="str">
        <x:v>Mármol</x:v>
      </x:c>
      <x:c r="F22" s="7" t="n">
        <x:f>'Revisión origen'!J29</x:f>
        <x:v>42</x:v>
      </x:c>
      <x:c r="G22" s="7" t="n">
        <x:f>'Revisión origen'!K29</x:f>
        <x:v>34.86</x:v>
      </x:c>
      <x:c r="H22" s="2" t="str">
        <x:v>no</x:v>
      </x:c>
      <x:c r="I22" s="2"/>
      <x:c r="J22" s="8"/>
    </x:row>
    <x:row r="23" ht="24" customHeight="1">
      <x:c r="A23" s="2"/>
      <x:c r="B23" s="2" t="str">
        <x:v>Bimbo Panqué 280 g</x:v>
      </x:c>
      <x:c r="C23" s="2" t="str">
        <x:v>unidad</x:v>
      </x:c>
      <x:c r="D23" s="2"/>
      <x:c r="E23" s="2" t="str">
        <x:v>Pasas</x:v>
      </x:c>
      <x:c r="F23" s="7" t="n">
        <x:f>'Revisión origen'!J30</x:f>
        <x:v>42</x:v>
      </x:c>
      <x:c r="G23" s="7" t="n">
        <x:f>'Revisión origen'!K30</x:f>
        <x:v>34.86</x:v>
      </x:c>
      <x:c r="H23" s="2" t="str">
        <x:v>no</x:v>
      </x:c>
      <x:c r="I23" s="2"/>
      <x:c r="J23" s="8"/>
    </x:row>
    <x:row r="24" ht="24" customHeight="1">
      <x:c r="A24" s="2"/>
      <x:c r="B24" s="2" t="str">
        <x:v>Bimbo Panqué 280 g</x:v>
      </x:c>
      <x:c r="C24" s="2" t="str">
        <x:v>unidad</x:v>
      </x:c>
      <x:c r="D24" s="2"/>
      <x:c r="E24" s="2" t="str">
        <x:v>Nuez</x:v>
      </x:c>
      <x:c r="F24" s="7" t="n">
        <x:f>'Revisión origen'!J31</x:f>
        <x:v>42</x:v>
      </x:c>
      <x:c r="G24" s="7" t="n">
        <x:f>'Revisión origen'!K31</x:f>
        <x:v>34.86</x:v>
      </x:c>
      <x:c r="H24" s="2" t="str">
        <x:v>no</x:v>
      </x:c>
      <x:c r="I24" s="2"/>
      <x:c r="J24" s="8"/>
    </x:row>
    <x:row r="25" ht="24" customHeight="1">
      <x:c r="A25" s="2"/>
      <x:c r="B25" s="2" t="str">
        <x:v>Bimbo Panquecitos Gota de Chocolate 2 p 140 g</x:v>
      </x:c>
      <x:c r="C25" s="2" t="str">
        <x:v>unidad</x:v>
      </x:c>
      <x:c r="D25" s="2"/>
      <x:c r="E25" s="2"/>
      <x:c r="F25" s="7" t="n">
        <x:f>'Revisión origen'!J32</x:f>
        <x:v>22</x:v>
      </x:c>
      <x:c r="G25" s="7" t="n">
        <x:f>'Revisión origen'!K32</x:f>
        <x:v>18.26</x:v>
      </x:c>
      <x:c r="H25" s="2" t="str">
        <x:v>no</x:v>
      </x:c>
      <x:c r="I25" s="2"/>
      <x:c r="J25" s="8"/>
    </x:row>
    <x:row r="26" ht="24" customHeight="1">
      <x:c r="A26" s="2"/>
      <x:c r="B26" s="2" t="str">
        <x:v>Bimbo Rebanadas 55 g</x:v>
      </x:c>
      <x:c r="C26" s="2" t="str">
        <x:v>unidad</x:v>
      </x:c>
      <x:c r="D26" s="2"/>
      <x:c r="E26" s="2"/>
      <x:c r="F26" s="7" t="n">
        <x:f>'Revisión origen'!J33</x:f>
        <x:v>10</x:v>
      </x:c>
      <x:c r="G26" s="7" t="n">
        <x:f>'Revisión origen'!K33</x:f>
        <x:v>8.3</x:v>
      </x:c>
      <x:c r="H26" s="2" t="str">
        <x:v>no</x:v>
      </x:c>
      <x:c r="I26" s="2"/>
      <x:c r="J26" s="8"/>
    </x:row>
    <x:row r="27" ht="24" customHeight="1">
      <x:c r="A27" s="2"/>
      <x:c r="B27" s="2" t="str">
        <x:v>Bimbo Roles Canela 3 p 180 g</x:v>
      </x:c>
      <x:c r="C27" s="2" t="str">
        <x:v>unidad</x:v>
      </x:c>
      <x:c r="D27" s="2"/>
      <x:c r="E27" s="2"/>
      <x:c r="F27" s="7" t="n">
        <x:f>'Revisión origen'!J34</x:f>
        <x:v>25</x:v>
      </x:c>
      <x:c r="G27" s="7" t="n">
        <x:f>'Revisión origen'!K34</x:f>
        <x:v>20.75</x:v>
      </x:c>
      <x:c r="H27" s="2" t="str">
        <x:v>no</x:v>
      </x:c>
      <x:c r="I27" s="2"/>
      <x:c r="J27" s="8"/>
    </x:row>
    <x:row r="28" ht="24" customHeight="1">
      <x:c r="A28" s="2"/>
      <x:c r="B28" s="2" t="str">
        <x:v>Bimbo Roles Glass 3 p 205 g</x:v>
      </x:c>
      <x:c r="C28" s="2" t="str">
        <x:v>unidad</x:v>
      </x:c>
      <x:c r="D28" s="2"/>
      <x:c r="E28" s="2"/>
      <x:c r="F28" s="7" t="n">
        <x:f>'Revisión origen'!J35</x:f>
        <x:v>25</x:v>
      </x:c>
      <x:c r="G28" s="7" t="n">
        <x:f>'Revisión origen'!K35</x:f>
        <x:v>20.75</x:v>
      </x:c>
      <x:c r="H28" s="2" t="str">
        <x:v>no</x:v>
      </x:c>
      <x:c r="I28" s="2"/>
      <x:c r="J28" s="8"/>
    </x:row>
    <x:row r="29" ht="24" customHeight="1">
      <x:c r="A29" s="2"/>
      <x:c r="B29" s="2" t="str">
        <x:v>Bimbo Roles Canela 6 p 365 g</x:v>
      </x:c>
      <x:c r="C29" s="2" t="str">
        <x:v>unidad</x:v>
      </x:c>
      <x:c r="D29" s="2"/>
      <x:c r="E29" s="2"/>
      <x:c r="F29" s="7" t="n">
        <x:f>'Revisión origen'!J36</x:f>
        <x:v>42</x:v>
      </x:c>
      <x:c r="G29" s="7" t="n">
        <x:f>'Revisión origen'!K36</x:f>
        <x:v>34.86</x:v>
      </x:c>
      <x:c r="H29" s="2" t="str">
        <x:v>no</x:v>
      </x:c>
      <x:c r="I29" s="2"/>
      <x:c r="J29" s="8"/>
    </x:row>
    <x:row r="30" ht="24" customHeight="1">
      <x:c r="A30" s="2"/>
      <x:c r="B30" s="2" t="str">
        <x:v>Bimbo Bimbollos 8 p 450 g</x:v>
      </x:c>
      <x:c r="C30" s="2" t="str">
        <x:v>unidad</x:v>
      </x:c>
      <x:c r="D30" s="2"/>
      <x:c r="E30" s="2"/>
      <x:c r="F30" s="7" t="n">
        <x:f>'Revisión origen'!J37</x:f>
        <x:v>52</x:v>
      </x:c>
      <x:c r="G30" s="7" t="n">
        <x:f>'Revisión origen'!K37</x:f>
        <x:v>43.16</x:v>
      </x:c>
      <x:c r="H30" s="2" t="str">
        <x:v>no</x:v>
      </x:c>
      <x:c r="I30" s="2"/>
      <x:c r="J30" s="8"/>
    </x:row>
    <x:row r="31" ht="24" customHeight="1">
      <x:c r="A31" s="2"/>
      <x:c r="B31" s="2" t="str">
        <x:v>Bimbo Bimbollos Brioche 6 p 465 g</x:v>
      </x:c>
      <x:c r="C31" s="2" t="str">
        <x:v>unidad</x:v>
      </x:c>
      <x:c r="D31" s="2"/>
      <x:c r="E31" s="2"/>
      <x:c r="F31" s="7" t="n">
        <x:f>'Revisión origen'!J38</x:f>
        <x:v>64</x:v>
      </x:c>
      <x:c r="G31" s="7" t="n">
        <x:f>'Revisión origen'!K38</x:f>
        <x:v>53.12</x:v>
      </x:c>
      <x:c r="H31" s="2" t="str">
        <x:v>no</x:v>
      </x:c>
      <x:c r="I31" s="2"/>
      <x:c r="J31" s="8"/>
    </x:row>
    <x:row r="32" ht="24" customHeight="1">
      <x:c r="A32" s="2"/>
      <x:c r="B32" s="2" t="str">
        <x:v>Bimbo Bimbollos Súper 6 p 480 g</x:v>
      </x:c>
      <x:c r="C32" s="2" t="str">
        <x:v>unidad</x:v>
      </x:c>
      <x:c r="D32" s="2"/>
      <x:c r="E32" s="2"/>
      <x:c r="F32" s="7" t="n">
        <x:f>'Revisión origen'!J39</x:f>
        <x:v>54</x:v>
      </x:c>
      <x:c r="G32" s="7" t="n">
        <x:f>'Revisión origen'!K39</x:f>
        <x:v>44.82</x:v>
      </x:c>
      <x:c r="H32" s="2" t="str">
        <x:v>no</x:v>
      </x:c>
      <x:c r="I32" s="2"/>
      <x:c r="J32" s="8"/>
    </x:row>
    <x:row r="33" ht="24" customHeight="1">
      <x:c r="A33" s="2"/>
      <x:c r="B33" s="2" t="str">
        <x:v>Bimbo Bimbollos Parrilleros 6 p 516 g</x:v>
      </x:c>
      <x:c r="C33" s="2" t="str">
        <x:v>unidad</x:v>
      </x:c>
      <x:c r="D33" s="2"/>
      <x:c r="E33" s="2"/>
      <x:c r="F33" s="7" t="n">
        <x:f>'Revisión origen'!J40</x:f>
        <x:v>56</x:v>
      </x:c>
      <x:c r="G33" s="7" t="n">
        <x:f>'Revisión origen'!K40</x:f>
        <x:v>46.48</x:v>
      </x:c>
      <x:c r="H33" s="2" t="str">
        <x:v>no</x:v>
      </x:c>
      <x:c r="I33" s="2"/>
      <x:c r="J33" s="8"/>
    </x:row>
    <x:row r="34" ht="24" customHeight="1">
      <x:c r="A34" s="2"/>
      <x:c r="B34" s="2" t="str">
        <x:v>Bimbo Bollos Súper 12 p 960 g</x:v>
      </x:c>
      <x:c r="C34" s="2" t="str">
        <x:v>unidad</x:v>
      </x:c>
      <x:c r="D34" s="2"/>
      <x:c r="E34" s="2"/>
      <x:c r="F34" s="7" t="n">
        <x:f>'Revisión origen'!J41</x:f>
        <x:v>90</x:v>
      </x:c>
      <x:c r="G34" s="7" t="n">
        <x:f>'Revisión origen'!K41</x:f>
        <x:v>74.7</x:v>
      </x:c>
      <x:c r="H34" s="2" t="str">
        <x:v>no</x:v>
      </x:c>
      <x:c r="I34" s="2"/>
      <x:c r="J34" s="8"/>
    </x:row>
    <x:row r="35" ht="24" customHeight="1">
      <x:c r="A35" s="2"/>
      <x:c r="B35" s="2" t="str">
        <x:v>Bimbo Medias Noches 8 p 340 g</x:v>
      </x:c>
      <x:c r="C35" s="2" t="str">
        <x:v>unidad</x:v>
      </x:c>
      <x:c r="D35" s="2"/>
      <x:c r="E35" s="2"/>
      <x:c r="F35" s="7" t="n">
        <x:f>'Revisión origen'!J42</x:f>
        <x:v>46</x:v>
      </x:c>
      <x:c r="G35" s="7" t="n">
        <x:f>'Revisión origen'!K42</x:f>
        <x:v>38.18</x:v>
      </x:c>
      <x:c r="H35" s="2" t="str">
        <x:v>no</x:v>
      </x:c>
      <x:c r="I35" s="2"/>
      <x:c r="J35" s="8"/>
    </x:row>
    <x:row r="36" ht="24" customHeight="1">
      <x:c r="A36" s="2"/>
      <x:c r="B36" s="2" t="str">
        <x:v>Bimbo Pan Artesano 567 g</x:v>
      </x:c>
      <x:c r="C36" s="2" t="str">
        <x:v>unidad</x:v>
      </x:c>
      <x:c r="D36" s="2"/>
      <x:c r="E36" s="2"/>
      <x:c r="F36" s="7" t="n">
        <x:f>'Revisión origen'!J43</x:f>
        <x:v>52</x:v>
      </x:c>
      <x:c r="G36" s="7" t="n">
        <x:f>'Revisión origen'!K43</x:f>
        <x:v>43.16</x:v>
      </x:c>
      <x:c r="H36" s="2" t="str">
        <x:v>no</x:v>
      </x:c>
      <x:c r="I36" s="2"/>
      <x:c r="J36" s="8"/>
    </x:row>
    <x:row r="37" ht="24" customHeight="1">
      <x:c r="A37" s="2"/>
      <x:c r="B37" s="2" t="str">
        <x:v>Bimbo Pan Blanco 300 g (Barrilito)</x:v>
      </x:c>
      <x:c r="C37" s="2" t="str">
        <x:v>unidad</x:v>
      </x:c>
      <x:c r="D37" s="2"/>
      <x:c r="E37" s="2"/>
      <x:c r="F37" s="7" t="n">
        <x:f>'Revisión origen'!J44</x:f>
        <x:v>25</x:v>
      </x:c>
      <x:c r="G37" s="7" t="n">
        <x:f>'Revisión origen'!K44</x:f>
        <x:v>20.75</x:v>
      </x:c>
      <x:c r="H37" s="2" t="str">
        <x:v>no</x:v>
      </x:c>
      <x:c r="I37" s="2"/>
      <x:c r="J37" s="8"/>
    </x:row>
    <x:row r="38" ht="24" customHeight="1">
      <x:c r="A38" s="2"/>
      <x:c r="B38" s="2" t="str">
        <x:v>Bimbo Pan Blanco Grande 620 g</x:v>
      </x:c>
      <x:c r="C38" s="2" t="str">
        <x:v>unidad</x:v>
      </x:c>
      <x:c r="D38" s="2"/>
      <x:c r="E38" s="2"/>
      <x:c r="F38" s="7" t="n">
        <x:f>'Revisión origen'!J45</x:f>
        <x:v>49</x:v>
      </x:c>
      <x:c r="G38" s="7" t="n">
        <x:f>'Revisión origen'!K45</x:f>
        <x:v>40.67</x:v>
      </x:c>
      <x:c r="H38" s="2" t="str">
        <x:v>no</x:v>
      </x:c>
      <x:c r="I38" s="2"/>
      <x:c r="J38" s="8"/>
    </x:row>
    <x:row r="39" ht="24" customHeight="1">
      <x:c r="A39" s="2"/>
      <x:c r="B39" s="2" t="str">
        <x:v>Bimbo Pan Cero Cero 610 g</x:v>
      </x:c>
      <x:c r="C39" s="2" t="str">
        <x:v>unidad</x:v>
      </x:c>
      <x:c r="D39" s="2"/>
      <x:c r="E39" s="2"/>
      <x:c r="F39" s="7" t="n">
        <x:f>'Revisión origen'!J46</x:f>
        <x:v>64</x:v>
      </x:c>
      <x:c r="G39" s="7" t="n">
        <x:f>'Revisión origen'!K46</x:f>
        <x:v>53.12</x:v>
      </x:c>
      <x:c r="H39" s="2" t="str">
        <x:v>no</x:v>
      </x:c>
      <x:c r="I39" s="2"/>
      <x:c r="J39" s="8"/>
    </x:row>
    <x:row r="40" ht="24" customHeight="1">
      <x:c r="A40" s="2"/>
      <x:c r="B40" s="2" t="str">
        <x:v>Bimbo Pan Integral 300 g (Barrilito)</x:v>
      </x:c>
      <x:c r="C40" s="2" t="str">
        <x:v>unidad</x:v>
      </x:c>
      <x:c r="D40" s="2"/>
      <x:c r="E40" s="2"/>
      <x:c r="F40" s="7" t="n">
        <x:f>'Revisión origen'!J47</x:f>
        <x:v>28</x:v>
      </x:c>
      <x:c r="G40" s="7" t="n">
        <x:f>'Revisión origen'!K47</x:f>
        <x:v>23.24</x:v>
      </x:c>
      <x:c r="H40" s="2" t="str">
        <x:v>no</x:v>
      </x:c>
      <x:c r="I40" s="2"/>
      <x:c r="J40" s="8"/>
    </x:row>
    <x:row r="41" ht="24" customHeight="1">
      <x:c r="A41" s="2"/>
      <x:c r="B41" s="2" t="str">
        <x:v>Bimbo Pan Integral Grande 620 g</x:v>
      </x:c>
      <x:c r="C41" s="2" t="str">
        <x:v>unidad</x:v>
      </x:c>
      <x:c r="D41" s="2"/>
      <x:c r="E41" s="2"/>
      <x:c r="F41" s="7" t="n">
        <x:f>'Revisión origen'!J48</x:f>
        <x:v>52</x:v>
      </x:c>
      <x:c r="G41" s="7" t="n">
        <x:f>'Revisión origen'!K48</x:f>
        <x:v>43.16</x:v>
      </x:c>
      <x:c r="H41" s="2" t="str">
        <x:v>no</x:v>
      </x:c>
      <x:c r="I41" s="2"/>
      <x:c r="J41" s="8"/>
    </x:row>
    <x:row r="42" ht="24" customHeight="1">
      <x:c r="A42" s="2"/>
      <x:c r="B42" s="2" t="str">
        <x:v>Bimbo Pan Linaza 610 g</x:v>
      </x:c>
      <x:c r="C42" s="2" t="str">
        <x:v>unidad</x:v>
      </x:c>
      <x:c r="D42" s="2"/>
      <x:c r="E42" s="2"/>
      <x:c r="F42" s="7" t="n">
        <x:f>'Revisión origen'!J49</x:f>
        <x:v>62</x:v>
      </x:c>
      <x:c r="G42" s="7" t="n">
        <x:f>'Revisión origen'!K49</x:f>
        <x:v>51.46</x:v>
      </x:c>
      <x:c r="H42" s="2" t="str">
        <x:v>no</x:v>
      </x:c>
      <x:c r="I42" s="2"/>
      <x:c r="J42" s="8"/>
    </x:row>
    <x:row r="43" ht="24" customHeight="1">
      <x:c r="A43" s="2"/>
      <x:c r="B43" s="2" t="str">
        <x:v>Bimbo Pan Multigrano Cero Cero 610 g</x:v>
      </x:c>
      <x:c r="C43" s="2" t="str">
        <x:v>unidad</x:v>
      </x:c>
      <x:c r="D43" s="2"/>
      <x:c r="E43" s="2"/>
      <x:c r="F43" s="7" t="n">
        <x:f>'Revisión origen'!J50</x:f>
        <x:v>64</x:v>
      </x:c>
      <x:c r="G43" s="7" t="n">
        <x:f>'Revisión origen'!K50</x:f>
        <x:v>53.12</x:v>
      </x:c>
      <x:c r="H43" s="2" t="str">
        <x:v>no</x:v>
      </x:c>
      <x:c r="I43" s="2"/>
      <x:c r="J43" s="8"/>
    </x:row>
    <x:row r="44" ht="24" customHeight="1">
      <x:c r="A44" s="2"/>
      <x:c r="B44" s="2" t="str">
        <x:v>Bimbo Mini Pan Tostado Mantequilla 115 g</x:v>
      </x:c>
      <x:c r="C44" s="2" t="str">
        <x:v>unidad</x:v>
      </x:c>
      <x:c r="D44" s="2"/>
      <x:c r="E44" s="2"/>
      <x:c r="F44" s="7" t="n">
        <x:f>'Revisión origen'!J51</x:f>
        <x:v>25</x:v>
      </x:c>
      <x:c r="G44" s="7" t="n">
        <x:f>'Revisión origen'!K51</x:f>
        <x:v>20.75</x:v>
      </x:c>
      <x:c r="H44" s="2" t="str">
        <x:v>no</x:v>
      </x:c>
      <x:c r="I44" s="2"/>
      <x:c r="J44" s="8"/>
    </x:row>
    <x:row r="45" ht="24" customHeight="1">
      <x:c r="A45" s="2"/>
      <x:c r="B45" s="2" t="str">
        <x:v>Bimbo Molido Clásico 210 g</x:v>
      </x:c>
      <x:c r="C45" s="2" t="str">
        <x:v>unidad</x:v>
      </x:c>
      <x:c r="D45" s="2"/>
      <x:c r="E45" s="2"/>
      <x:c r="F45" s="7" t="n">
        <x:f>'Revisión origen'!J52</x:f>
        <x:v>28</x:v>
      </x:c>
      <x:c r="G45" s="7" t="n">
        <x:f>'Revisión origen'!K52</x:f>
        <x:v>23.24</x:v>
      </x:c>
      <x:c r="H45" s="2" t="str">
        <x:v>no</x:v>
      </x:c>
      <x:c r="I45" s="2"/>
      <x:c r="J45" s="8"/>
    </x:row>
    <x:row r="46" ht="24" customHeight="1">
      <x:c r="A46" s="2"/>
      <x:c r="B46" s="2" t="str">
        <x:v>Bimbo Molido Clásico 400 g</x:v>
      </x:c>
      <x:c r="C46" s="2" t="str">
        <x:v>unidad</x:v>
      </x:c>
      <x:c r="D46" s="2"/>
      <x:c r="E46" s="2"/>
      <x:c r="F46" s="7" t="n">
        <x:f>'Revisión origen'!J53</x:f>
        <x:v>40</x:v>
      </x:c>
      <x:c r="G46" s="7" t="n">
        <x:f>'Revisión origen'!K53</x:f>
        <x:v>33.2</x:v>
      </x:c>
      <x:c r="H46" s="2" t="str">
        <x:v>no</x:v>
      </x:c>
      <x:c r="I46" s="2"/>
      <x:c r="J46" s="8"/>
    </x:row>
    <x:row r="47" ht="24" customHeight="1">
      <x:c r="A47" s="2"/>
      <x:c r="B47" s="2" t="str">
        <x:v>Bimbo Molido Crujiente 175 g</x:v>
      </x:c>
      <x:c r="C47" s="2" t="str">
        <x:v>unidad</x:v>
      </x:c>
      <x:c r="D47" s="2"/>
      <x:c r="E47" s="2"/>
      <x:c r="F47" s="7" t="n">
        <x:f>'Revisión origen'!J54</x:f>
        <x:v>28</x:v>
      </x:c>
      <x:c r="G47" s="7" t="n">
        <x:f>'Revisión origen'!K54</x:f>
        <x:v>23.24</x:v>
      </x:c>
      <x:c r="H47" s="2" t="str">
        <x:v>no</x:v>
      </x:c>
      <x:c r="I47" s="2"/>
      <x:c r="J47" s="8"/>
    </x:row>
    <x:row r="48" ht="24" customHeight="1">
      <x:c r="A48" s="2"/>
      <x:c r="B48" s="2" t="str">
        <x:v>Bimbo Tostado Brioche 14 p 210 g</x:v>
      </x:c>
      <x:c r="C48" s="2" t="str">
        <x:v>unidad</x:v>
      </x:c>
      <x:c r="D48" s="2"/>
      <x:c r="E48" s="2"/>
      <x:c r="F48" s="7" t="n">
        <x:f>'Revisión origen'!J55</x:f>
        <x:v>36</x:v>
      </x:c>
      <x:c r="G48" s="7" t="n">
        <x:f>'Revisión origen'!K55</x:f>
        <x:v>29.88</x:v>
      </x:c>
      <x:c r="H48" s="2" t="str">
        <x:v>no</x:v>
      </x:c>
      <x:c r="I48" s="2"/>
      <x:c r="J48" s="8"/>
    </x:row>
    <x:row r="49" ht="24" customHeight="1">
      <x:c r="A49" s="2"/>
      <x:c r="B49" s="2" t="str">
        <x:v>Bimbo Tostado Clásico 210 g</x:v>
      </x:c>
      <x:c r="C49" s="2" t="str">
        <x:v>unidad</x:v>
      </x:c>
      <x:c r="D49" s="2"/>
      <x:c r="E49" s="2"/>
      <x:c r="F49" s="7" t="n">
        <x:f>'Revisión origen'!J56</x:f>
        <x:v>34</x:v>
      </x:c>
      <x:c r="G49" s="7" t="n">
        <x:f>'Revisión origen'!K56</x:f>
        <x:v>28.22</x:v>
      </x:c>
      <x:c r="H49" s="2" t="str">
        <x:v>no</x:v>
      </x:c>
      <x:c r="I49" s="2"/>
      <x:c r="J49" s="8"/>
    </x:row>
    <x:row r="50" ht="24" customHeight="1">
      <x:c r="A50" s="2"/>
      <x:c r="B50" s="2" t="str">
        <x:v>Bimbo Tostado Doble Fibra 250 g</x:v>
      </x:c>
      <x:c r="C50" s="2" t="str">
        <x:v>unidad</x:v>
      </x:c>
      <x:c r="D50" s="2"/>
      <x:c r="E50" s="2"/>
      <x:c r="F50" s="7" t="n">
        <x:f>'Revisión origen'!J57</x:f>
        <x:v>36</x:v>
      </x:c>
      <x:c r="G50" s="7" t="n">
        <x:f>'Revisión origen'!K57</x:f>
        <x:v>29.88</x:v>
      </x:c>
      <x:c r="H50" s="2" t="str">
        <x:v>no</x:v>
      </x:c>
      <x:c r="I50" s="2"/>
      <x:c r="J50" s="8"/>
    </x:row>
    <x:row r="51" ht="24" customHeight="1">
      <x:c r="A51" s="2"/>
      <x:c r="B51" s="2" t="str">
        <x:v>Bimbo Tostado Integral 250 g</x:v>
      </x:c>
      <x:c r="C51" s="2" t="str">
        <x:v>unidad</x:v>
      </x:c>
      <x:c r="D51" s="2"/>
      <x:c r="E51" s="2"/>
      <x:c r="F51" s="7" t="n">
        <x:f>'Revisión origen'!J58</x:f>
        <x:v>36</x:v>
      </x:c>
      <x:c r="G51" s="7" t="n">
        <x:f>'Revisión origen'!K58</x:f>
        <x:v>29.88</x:v>
      </x:c>
      <x:c r="H51" s="2" t="str">
        <x:v>no</x:v>
      </x:c>
      <x:c r="I51" s="2"/>
      <x:c r="J51" s="8"/>
    </x:row>
    <x:row r="52" ht="24" customHeight="1">
      <x:c r="A52" s="2"/>
      <x:c r="B52" s="2" t="str">
        <x:v>Bimbo Bran Frut 58 g</x:v>
      </x:c>
      <x:c r="C52" s="2" t="str">
        <x:v>unidad</x:v>
      </x:c>
      <x:c r="D52" s="2"/>
      <x:c r="E52" s="2" t="str">
        <x:v>Fresa</x:v>
      </x:c>
      <x:c r="F52" s="7" t="n">
        <x:f>'Revisión origen'!J59</x:f>
        <x:v>12</x:v>
      </x:c>
      <x:c r="G52" s="7" t="n">
        <x:f>'Revisión origen'!K59</x:f>
        <x:v>9.96</x:v>
      </x:c>
      <x:c r="H52" s="2" t="str">
        <x:v>no</x:v>
      </x:c>
      <x:c r="I52" s="2"/>
      <x:c r="J52" s="8"/>
    </x:row>
    <x:row r="53" ht="24" customHeight="1">
      <x:c r="A53" s="2"/>
      <x:c r="B53" s="2" t="str">
        <x:v>Bimbo Bran Frut 58 g</x:v>
      </x:c>
      <x:c r="C53" s="2" t="str">
        <x:v>unidad</x:v>
      </x:c>
      <x:c r="D53" s="2"/>
      <x:c r="E53" s="2" t="str">
        <x:v>Piña</x:v>
      </x:c>
      <x:c r="F53" s="7" t="n">
        <x:f>'Revisión origen'!J60</x:f>
        <x:v>12</x:v>
      </x:c>
      <x:c r="G53" s="7" t="n">
        <x:f>'Revisión origen'!K60</x:f>
        <x:v>9.96</x:v>
      </x:c>
      <x:c r="H53" s="2" t="str">
        <x:v>no</x:v>
      </x:c>
      <x:c r="I53" s="2"/>
      <x:c r="J53" s="8"/>
    </x:row>
    <x:row r="54" ht="24" customHeight="1">
      <x:c r="A54" s="2"/>
      <x:c r="B54" s="2" t="str">
        <x:v>Bimbo Bran Frut Granos Ancestrales 60 g</x:v>
      </x:c>
      <x:c r="C54" s="2" t="str">
        <x:v>unidad</x:v>
      </x:c>
      <x:c r="D54" s="2"/>
      <x:c r="E54" s="2"/>
      <x:c r="F54" s="7" t="n">
        <x:f>'Revisión origen'!J61</x:f>
        <x:v>12</x:v>
      </x:c>
      <x:c r="G54" s="7" t="n">
        <x:f>'Revisión origen'!K61</x:f>
        <x:v>9.96</x:v>
      </x:c>
      <x:c r="H54" s="2" t="str">
        <x:v>no</x:v>
      </x:c>
      <x:c r="I54" s="2"/>
      <x:c r="J54" s="8"/>
    </x:row>
    <x:row r="55" ht="24" customHeight="1">
      <x:c r="A55" s="2"/>
      <x:c r="B55" s="2" t="str">
        <x:v>Bimbo Bran Frut Cheesecake 58 g</x:v>
      </x:c>
      <x:c r="C55" s="2" t="str">
        <x:v>unidad</x:v>
      </x:c>
      <x:c r="D55" s="2"/>
      <x:c r="E55" s="2"/>
      <x:c r="F55" s="7" t="n">
        <x:f>'Revisión origen'!J62</x:f>
        <x:v>12</x:v>
      </x:c>
      <x:c r="G55" s="7" t="n">
        <x:f>'Revisión origen'!K62</x:f>
        <x:v>9.96</x:v>
      </x:c>
      <x:c r="H55" s="2" t="str">
        <x:v>no</x:v>
      </x:c>
      <x:c r="I55" s="2"/>
      <x:c r="J55" s="8"/>
    </x:row>
    <x:row r="56" ht="24" customHeight="1">
      <x:c r="A56" s="2"/>
      <x:c r="B56" s="2" t="str">
        <x:v>Bimbo Multigrano Linaza 32 g</x:v>
      </x:c>
      <x:c r="C56" s="2" t="str">
        <x:v>unidad</x:v>
      </x:c>
      <x:c r="D56" s="2"/>
      <x:c r="E56" s="2"/>
      <x:c r="F56" s="7" t="n">
        <x:f>'Revisión origen'!J63</x:f>
        <x:v>12</x:v>
      </x:c>
      <x:c r="G56" s="7" t="n">
        <x:f>'Revisión origen'!K63</x:f>
        <x:v>9.96</x:v>
      </x:c>
      <x:c r="H56" s="2" t="str">
        <x:v>no</x:v>
      </x:c>
      <x:c r="I56" s="2"/>
      <x:c r="J56" s="8"/>
    </x:row>
    <x:row r="57" ht="24" customHeight="1">
      <x:c r="A57" s="2"/>
      <x:c r="B57" s="2" t="str">
        <x:v>Bimbo Multigrano Nuez 34 g</x:v>
      </x:c>
      <x:c r="C57" s="2" t="str">
        <x:v>unidad</x:v>
      </x:c>
      <x:c r="D57" s="2"/>
      <x:c r="E57" s="2"/>
      <x:c r="F57" s="7" t="n">
        <x:f>'Revisión origen'!J64</x:f>
        <x:v>12</x:v>
      </x:c>
      <x:c r="G57" s="7" t="n">
        <x:f>'Revisión origen'!K64</x:f>
        <x:v>9.96</x:v>
      </x:c>
      <x:c r="H57" s="2" t="str">
        <x:v>no</x:v>
      </x:c>
      <x:c r="I57" s="2"/>
      <x:c r="J57" s="8"/>
    </x:row>
    <x:row r="58" ht="24" customHeight="1">
      <x:c r="A58" s="2"/>
      <x:c r="B58" s="2" t="str">
        <x:v>Bimbo Fruit Grain Salvfresa 67 g</x:v>
      </x:c>
      <x:c r="C58" s="2" t="str">
        <x:v>unidad</x:v>
      </x:c>
      <x:c r="D58" s="2"/>
      <x:c r="E58" s="2"/>
      <x:c r="F58" s="7" t="n">
        <x:f>'Revisión origen'!J65</x:f>
        <x:v>15</x:v>
      </x:c>
      <x:c r="G58" s="7" t="n">
        <x:f>'Revisión origen'!K65</x:f>
        <x:v>12.45</x:v>
      </x:c>
      <x:c r="H58" s="2" t="str">
        <x:v>no</x:v>
      </x:c>
      <x:c r="I58" s="2"/>
      <x:c r="J58" s="8"/>
    </x:row>
    <x:row r="59" ht="24" customHeight="1">
      <x:c r="A59" s="2"/>
      <x:c r="B59" s="2" t="str">
        <x:v>Bimbo Fruit Grain Strudel Manzana 1 p 65 g</x:v>
      </x:c>
      <x:c r="C59" s="2" t="str">
        <x:v>unidad</x:v>
      </x:c>
      <x:c r="D59" s="2"/>
      <x:c r="E59" s="2"/>
      <x:c r="F59" s="7" t="n">
        <x:f>'Revisión origen'!J66</x:f>
        <x:v>12</x:v>
      </x:c>
      <x:c r="G59" s="7" t="n">
        <x:f>'Revisión origen'!K66</x:f>
        <x:v>9.96</x:v>
      </x:c>
      <x:c r="H59" s="2" t="str">
        <x:v>no</x:v>
      </x:c>
      <x:c r="I59" s="2"/>
      <x:c r="J59" s="8"/>
    </x:row>
    <x:row r="60" ht="24" customHeight="1">
      <x:c r="A60" s="2"/>
      <x:c r="B60" s="2" t="str">
        <x:v>Wonder Chocotorro 50 g</x:v>
      </x:c>
      <x:c r="C60" s="2" t="str">
        <x:v>unidad</x:v>
      </x:c>
      <x:c r="D60" s="2"/>
      <x:c r="E60" s="2"/>
      <x:c r="F60" s="7" t="n">
        <x:f>'Revisión origen'!J67</x:f>
        <x:v>15</x:v>
      </x:c>
      <x:c r="G60" s="7" t="n">
        <x:f>'Revisión origen'!K67</x:f>
        <x:v>12.45</x:v>
      </x:c>
      <x:c r="H60" s="2" t="str">
        <x:v>no</x:v>
      </x:c>
      <x:c r="I60" s="2"/>
      <x:c r="J60" s="8"/>
    </x:row>
    <x:row r="61" ht="24" customHeight="1">
      <x:c r="A61" s="2"/>
      <x:c r="B61" s="2" t="str">
        <x:v>Wonder Dálmata 55 g</x:v>
      </x:c>
      <x:c r="C61" s="2" t="str">
        <x:v>unidad</x:v>
      </x:c>
      <x:c r="D61" s="2"/>
      <x:c r="E61" s="2"/>
      <x:c r="F61" s="7" t="n">
        <x:f>'Revisión origen'!J68</x:f>
        <x:v>15</x:v>
      </x:c>
      <x:c r="G61" s="7" t="n">
        <x:f>'Revisión origen'!K68</x:f>
        <x:v>12.45</x:v>
      </x:c>
      <x:c r="H61" s="2" t="str">
        <x:v>no</x:v>
      </x:c>
      <x:c r="I61" s="2"/>
      <x:c r="J61" s="8"/>
    </x:row>
    <x:row r="62" ht="24" customHeight="1">
      <x:c r="A62" s="2"/>
      <x:c r="B62" s="2" t="str">
        <x:v>Wonder Mini Chocotorro 1 p 24 g</x:v>
      </x:c>
      <x:c r="C62" s="2" t="str">
        <x:v>unidad</x:v>
      </x:c>
      <x:c r="D62" s="2"/>
      <x:c r="E62" s="2"/>
      <x:c r="F62" s="7" t="n">
        <x:f>'Revisión origen'!J69</x:f>
        <x:v>7</x:v>
      </x:c>
      <x:c r="G62" s="7" t="n">
        <x:f>'Revisión origen'!K69</x:f>
        <x:v>5.81</x:v>
      </x:c>
      <x:c r="H62" s="2" t="str">
        <x:v>no</x:v>
      </x:c>
      <x:c r="I62" s="2"/>
      <x:c r="J62" s="8"/>
    </x:row>
    <x:row r="63" ht="24" customHeight="1">
      <x:c r="A63" s="2"/>
      <x:c r="B63" s="2" t="str">
        <x:v>Wonder Twinkies 3 p 114 g</x:v>
      </x:c>
      <x:c r="C63" s="2" t="str">
        <x:v>unidad</x:v>
      </x:c>
      <x:c r="D63" s="2"/>
      <x:c r="E63" s="2" t="str">
        <x:v>Vainilla</x:v>
      </x:c>
      <x:c r="F63" s="7" t="n">
        <x:f>'Revisión origen'!J70</x:f>
        <x:v>19</x:v>
      </x:c>
      <x:c r="G63" s="7" t="n">
        <x:f>'Revisión origen'!K70</x:f>
        <x:v>15.77</x:v>
      </x:c>
      <x:c r="H63" s="2" t="str">
        <x:v>no</x:v>
      </x:c>
      <x:c r="I63" s="2"/>
      <x:c r="J63" s="8"/>
    </x:row>
    <x:row r="64" ht="24" customHeight="1">
      <x:c r="A64" s="2"/>
      <x:c r="B64" s="2" t="str">
        <x:v>Wonder Twinkies 3 p 114 g</x:v>
      </x:c>
      <x:c r="C64" s="2" t="str">
        <x:v>unidad</x:v>
      </x:c>
      <x:c r="D64" s="2"/>
      <x:c r="E64" s="2" t="str">
        <x:v>Chocolate</x:v>
      </x:c>
      <x:c r="F64" s="7" t="n">
        <x:f>'Revisión origen'!J71</x:f>
        <x:v>19</x:v>
      </x:c>
      <x:c r="G64" s="7" t="n">
        <x:f>'Revisión origen'!K71</x:f>
        <x:v>15.77</x:v>
      </x:c>
      <x:c r="H64" s="2" t="str">
        <x:v>no</x:v>
      </x:c>
      <x:c r="I64" s="2"/>
      <x:c r="J64" s="8"/>
    </x:row>
    <x:row r="65" ht="24" customHeight="1">
      <x:c r="A65" s="2"/>
      <x:c r="B65" s="2" t="str">
        <x:v>Wonder Hot Dogs 8 p 340 g</x:v>
      </x:c>
      <x:c r="C65" s="2" t="str">
        <x:v>unidad</x:v>
      </x:c>
      <x:c r="D65" s="2"/>
      <x:c r="E65" s="2"/>
      <x:c r="F65" s="7" t="n">
        <x:f>'Revisión origen'!J72</x:f>
        <x:v>48</x:v>
      </x:c>
      <x:c r="G65" s="7" t="n">
        <x:f>'Revisión origen'!K72</x:f>
        <x:v>39.84</x:v>
      </x:c>
      <x:c r="H65" s="2" t="str">
        <x:v>no</x:v>
      </x:c>
      <x:c r="I65" s="2"/>
      <x:c r="J65" s="8"/>
    </x:row>
    <x:row r="66" ht="24" customHeight="1">
      <x:c r="A66" s="2"/>
      <x:c r="B66" s="2" t="str">
        <x:v>Wonder Súper Bollos 8 p 540 g</x:v>
      </x:c>
      <x:c r="C66" s="2" t="str">
        <x:v>unidad</x:v>
      </x:c>
      <x:c r="D66" s="2"/>
      <x:c r="E66" s="2"/>
      <x:c r="F66" s="7" t="n">
        <x:f>'Revisión origen'!J73</x:f>
        <x:v>65</x:v>
      </x:c>
      <x:c r="G66" s="7" t="n">
        <x:f>'Revisión origen'!K73</x:f>
        <x:v>53.95</x:v>
      </x:c>
      <x:c r="H66" s="2" t="str">
        <x:v>no</x:v>
      </x:c>
      <x:c r="I66" s="2"/>
      <x:c r="J66" s="8"/>
    </x:row>
    <x:row r="67" ht="24" customHeight="1">
      <x:c r="A67" s="2"/>
      <x:c r="B67" s="2" t="str">
        <x:v>Wonder Súper Hot Dogs 8 p 526 g</x:v>
      </x:c>
      <x:c r="C67" s="2" t="str">
        <x:v>unidad</x:v>
      </x:c>
      <x:c r="D67" s="2"/>
      <x:c r="E67" s="2"/>
      <x:c r="F67" s="7" t="n">
        <x:f>'Revisión origen'!J74</x:f>
        <x:v>58</x:v>
      </x:c>
      <x:c r="G67" s="7" t="n">
        <x:f>'Revisión origen'!K74</x:f>
        <x:v>48.14</x:v>
      </x:c>
      <x:c r="H67" s="2" t="str">
        <x:v>no</x:v>
      </x:c>
      <x:c r="I67" s="2"/>
      <x:c r="J67" s="8"/>
    </x:row>
    <x:row r="68" ht="24" customHeight="1">
      <x:c r="A68" s="2"/>
      <x:c r="B68" s="2" t="str">
        <x:v>Wonder Integral 100% con Ajonjolí 567 g</x:v>
      </x:c>
      <x:c r="C68" s="2" t="str">
        <x:v>unidad</x:v>
      </x:c>
      <x:c r="D68" s="2"/>
      <x:c r="E68" s="2"/>
      <x:c r="F68" s="7" t="n">
        <x:f>'Revisión origen'!J75</x:f>
        <x:v>56</x:v>
      </x:c>
      <x:c r="G68" s="7" t="n">
        <x:f>'Revisión origen'!K75</x:f>
        <x:v>46.48</x:v>
      </x:c>
      <x:c r="H68" s="2" t="str">
        <x:v>no</x:v>
      </x:c>
      <x:c r="I68" s="2"/>
      <x:c r="J68" s="8"/>
    </x:row>
    <x:row r="69" ht="24" customHeight="1">
      <x:c r="A69" s="2"/>
      <x:c r="B69" s="2" t="str">
        <x:v>Wonder Súper Pan Blanco con Ajonjolí 567 g</x:v>
      </x:c>
      <x:c r="C69" s="2" t="str">
        <x:v>unidad</x:v>
      </x:c>
      <x:c r="D69" s="2"/>
      <x:c r="E69" s="2"/>
      <x:c r="F69" s="7" t="n">
        <x:f>'Revisión origen'!J76</x:f>
        <x:v>54</x:v>
      </x:c>
      <x:c r="G69" s="7" t="n">
        <x:f>'Revisión origen'!K76</x:f>
        <x:v>44.82</x:v>
      </x:c>
      <x:c r="H69" s="2" t="str">
        <x:v>no</x:v>
      </x:c>
      <x:c r="I69" s="2"/>
      <x:c r="J69" s="8"/>
    </x:row>
    <x:row r="70" ht="24" customHeight="1">
      <x:c r="A70" s="2"/>
      <x:c r="B70" s="2" t="str">
        <x:v>Del Hogar Tortilla de Harina 15 p 300 g</x:v>
      </x:c>
      <x:c r="C70" s="2" t="str">
        <x:v>unidad</x:v>
      </x:c>
      <x:c r="D70" s="2"/>
      <x:c r="E70" s="2"/>
      <x:c r="F70" s="7" t="n">
        <x:f>'Revisión origen'!J77</x:f>
        <x:v>18</x:v>
      </x:c>
      <x:c r="G70" s="7" t="n">
        <x:f>'Revisión origen'!K77</x:f>
        <x:v>15.12</x:v>
      </x:c>
      <x:c r="H70" s="2" t="str">
        <x:v>no</x:v>
      </x:c>
      <x:c r="I70" s="2"/>
      <x:c r="J70" s="8"/>
    </x:row>
    <x:row r="71" ht="24" customHeight="1">
      <x:c r="A71" s="2"/>
      <x:c r="B71" s="2" t="str">
        <x:v>Tía Rosa Tortillinas 15 p 382.5 g</x:v>
      </x:c>
      <x:c r="C71" s="2" t="str">
        <x:v>unidad</x:v>
      </x:c>
      <x:c r="D71" s="2"/>
      <x:c r="E71" s="2"/>
      <x:c r="F71" s="7" t="n">
        <x:f>'Revisión origen'!J78</x:f>
        <x:v>25</x:v>
      </x:c>
      <x:c r="G71" s="7" t="n">
        <x:f>'Revisión origen'!K78</x:f>
        <x:v>20.75</x:v>
      </x:c>
      <x:c r="H71" s="2" t="str">
        <x:v>no</x:v>
      </x:c>
      <x:c r="I71" s="2"/>
      <x:c r="J71" s="8"/>
    </x:row>
    <x:row r="72" ht="24" customHeight="1">
      <x:c r="A72" s="2"/>
      <x:c r="B72" s="2" t="str">
        <x:v>Tía Rosa Tortillinas 22 p 561 g</x:v>
      </x:c>
      <x:c r="C72" s="2" t="str">
        <x:v>unidad</x:v>
      </x:c>
      <x:c r="D72" s="2"/>
      <x:c r="E72" s="2"/>
      <x:c r="F72" s="7" t="n">
        <x:f>'Revisión origen'!J79</x:f>
        <x:v>38</x:v>
      </x:c>
      <x:c r="G72" s="7" t="n">
        <x:f>'Revisión origen'!K79</x:f>
        <x:v>31.54</x:v>
      </x:c>
      <x:c r="H72" s="2" t="str">
        <x:v>no</x:v>
      </x:c>
      <x:c r="I72" s="2"/>
      <x:c r="J72" s="8"/>
    </x:row>
    <x:row r="73" ht="24" customHeight="1">
      <x:c r="A73" s="2"/>
      <x:c r="B73" s="2" t="str">
        <x:v>Tía Rosa Tortillinas 30 p 765 g</x:v>
      </x:c>
      <x:c r="C73" s="2" t="str">
        <x:v>unidad</x:v>
      </x:c>
      <x:c r="D73" s="2"/>
      <x:c r="E73" s="2"/>
      <x:c r="F73" s="7" t="n">
        <x:f>'Revisión origen'!J80</x:f>
        <x:v>50</x:v>
      </x:c>
      <x:c r="G73" s="7" t="n">
        <x:f>'Revisión origen'!K80</x:f>
        <x:v>41.5</x:v>
      </x:c>
      <x:c r="H73" s="2" t="str">
        <x:v>no</x:v>
      </x:c>
      <x:c r="I73" s="2"/>
      <x:c r="J73" s="8"/>
    </x:row>
    <x:row r="74" ht="24" customHeight="1">
      <x:c r="A74" s="2"/>
      <x:c r="B74" s="2" t="str">
        <x:v>Tía Rosa Tortillinas Parrilleras 10 p 290 g</x:v>
      </x:c>
      <x:c r="C74" s="2" t="str">
        <x:v>unidad</x:v>
      </x:c>
      <x:c r="D74" s="2"/>
      <x:c r="E74" s="2"/>
      <x:c r="F74" s="7" t="n">
        <x:f>'Revisión origen'!J81</x:f>
        <x:v>30</x:v>
      </x:c>
      <x:c r="G74" s="7" t="n">
        <x:f>'Revisión origen'!K81</x:f>
        <x:v>24.9</x:v>
      </x:c>
      <x:c r="H74" s="2" t="str">
        <x:v>no</x:v>
      </x:c>
      <x:c r="I74" s="2"/>
      <x:c r="J74" s="8"/>
    </x:row>
    <x:row r="75" ht="24" customHeight="1">
      <x:c r="A75" s="2"/>
      <x:c r="B75" s="2" t="str">
        <x:v>Milpa Real Tostada Ondulada 30 p 360 g</x:v>
      </x:c>
      <x:c r="C75" s="2" t="str">
        <x:v>unidad</x:v>
      </x:c>
      <x:c r="D75" s="2"/>
      <x:c r="E75" s="2"/>
      <x:c r="F75" s="7" t="n">
        <x:f>'Revisión origen'!J82</x:f>
        <x:v>37</x:v>
      </x:c>
      <x:c r="G75" s="7" t="n">
        <x:f>'Revisión origen'!K82</x:f>
        <x:v>30.34</x:v>
      </x:c>
      <x:c r="H75" s="2" t="str">
        <x:v>no</x:v>
      </x:c>
      <x:c r="I75" s="2"/>
      <x:c r="J75" s="8"/>
    </x:row>
    <x:row r="76" ht="24" customHeight="1">
      <x:c r="A76" s="2"/>
      <x:c r="B76" s="2" t="str">
        <x:v>Milpa Real Tostada Plana 15 p 175 g</x:v>
      </x:c>
      <x:c r="C76" s="2" t="str">
        <x:v>unidad</x:v>
      </x:c>
      <x:c r="D76" s="2"/>
      <x:c r="E76" s="2"/>
      <x:c r="F76" s="7" t="n">
        <x:f>'Revisión origen'!J83</x:f>
        <x:v>26</x:v>
      </x:c>
      <x:c r="G76" s="7" t="n">
        <x:f>'Revisión origen'!K83</x:f>
        <x:v>21.32</x:v>
      </x:c>
      <x:c r="H76" s="2" t="str">
        <x:v>no</x:v>
      </x:c>
      <x:c r="I76" s="2"/>
      <x:c r="J76" s="8"/>
    </x:row>
    <x:row r="77" ht="24" customHeight="1">
      <x:c r="A77" s="2"/>
      <x:c r="B77" s="2" t="str">
        <x:v>Milpa Real Totopos Chilaquiles 280 g</x:v>
      </x:c>
      <x:c r="C77" s="2" t="str">
        <x:v>unidad</x:v>
      </x:c>
      <x:c r="D77" s="2"/>
      <x:c r="E77" s="2"/>
      <x:c r="F77" s="7" t="n">
        <x:f>'Revisión origen'!J84</x:f>
        <x:v>32</x:v>
      </x:c>
      <x:c r="G77" s="7" t="n">
        <x:f>'Revisión origen'!K84</x:f>
        <x:v>26.24</x:v>
      </x:c>
      <x:c r="H77" s="2" t="str">
        <x:v>no</x:v>
      </x:c>
      <x:c r="I77" s="2"/>
      <x:c r="J77" s="8"/>
    </x:row>
    <x:row r="78" ht="24" customHeight="1">
      <x:c r="A78" s="2"/>
      <x:c r="B78" s="2" t="str">
        <x:v>Milpa Real Totopos Chilaquiles 500 g</x:v>
      </x:c>
      <x:c r="C78" s="2" t="str">
        <x:v>unidad</x:v>
      </x:c>
      <x:c r="D78" s="2"/>
      <x:c r="E78" s="2"/>
      <x:c r="F78" s="7" t="n">
        <x:f>'Revisión origen'!J85</x:f>
        <x:v>50</x:v>
      </x:c>
      <x:c r="G78" s="7" t="n">
        <x:f>'Revisión origen'!K85</x:f>
        <x:v>41</x:v>
      </x:c>
      <x:c r="H78" s="2" t="str">
        <x:v>no</x:v>
      </x:c>
      <x:c r="I78" s="2"/>
      <x:c r="J78" s="8"/>
    </x:row>
    <x:row r="79" ht="24" customHeight="1">
      <x:c r="A79" s="2"/>
      <x:c r="B79" s="2" t="str">
        <x:v>Del Hogar Totopos 280 g</x:v>
      </x:c>
      <x:c r="C79" s="2" t="str">
        <x:v>unidad</x:v>
      </x:c>
      <x:c r="D79" s="2"/>
      <x:c r="E79" s="2"/>
      <x:c r="F79" s="7" t="n">
        <x:f>'Revisión origen'!J86</x:f>
        <x:v>30</x:v>
      </x:c>
      <x:c r="G79" s="7" t="n">
        <x:f>'Revisión origen'!K86</x:f>
        <x:v>24.6</x:v>
      </x:c>
      <x:c r="H79" s="2" t="str">
        <x:v>no</x:v>
      </x:c>
      <x:c r="I79" s="2"/>
      <x:c r="J79" s="8"/>
    </x:row>
    <x:row r="80" ht="24" customHeight="1">
      <x:c r="A80" s="2"/>
      <x:c r="B80" s="2" t="str">
        <x:v>Salsa 240 g</x:v>
      </x:c>
      <x:c r="C80" s="2" t="str">
        <x:v>unidad</x:v>
      </x:c>
      <x:c r="D80" s="2"/>
      <x:c r="E80" s="2" t="str">
        <x:v>Mora</x:v>
      </x:c>
      <x:c r="F80" s="7" t="n">
        <x:f>'Revisión origen'!J87</x:f>
        <x:v>20</x:v>
      </x:c>
      <x:c r="G80" s="7" t="n">
        <x:f>'Revisión origen'!K87</x:f>
        <x:v>16.8</x:v>
      </x:c>
      <x:c r="H80" s="2" t="str">
        <x:v>no</x:v>
      </x:c>
      <x:c r="I80" s="2"/>
      <x:c r="J80" s="8"/>
    </x:row>
    <x:row r="81" ht="24" customHeight="1">
      <x:c r="A81" s="2"/>
      <x:c r="B81" s="2" t="str">
        <x:v>Salsa 240 g</x:v>
      </x:c>
      <x:c r="C81" s="2" t="str">
        <x:v>unidad</x:v>
      </x:c>
      <x:c r="D81" s="2"/>
      <x:c r="E81" s="2" t="str">
        <x:v>Chile de Árbol</x:v>
      </x:c>
      <x:c r="F81" s="7" t="n">
        <x:f>'Revisión origen'!J88</x:f>
        <x:v>20</x:v>
      </x:c>
      <x:c r="G81" s="7" t="n">
        <x:f>'Revisión origen'!K88</x:f>
        <x:v>16.8</x:v>
      </x:c>
      <x:c r="H81" s="2" t="str">
        <x:v>no</x:v>
      </x:c>
      <x:c r="I81" s="2"/>
      <x:c r="J81" s="8"/>
    </x:row>
    <x:row r="82" ht="24" customHeight="1">
      <x:c r="A82" s="2"/>
      <x:c r="B82" s="2" t="str">
        <x:v>Salsa 240 g</x:v>
      </x:c>
      <x:c r="C82" s="2" t="str">
        <x:v>unidad</x:v>
      </x:c>
      <x:c r="D82" s="2"/>
      <x:c r="E82" s="2" t="str">
        <x:v>Verde</x:v>
      </x:c>
      <x:c r="F82" s="7" t="n">
        <x:f>'Revisión origen'!J89</x:f>
        <x:v>20</x:v>
      </x:c>
      <x:c r="G82" s="7" t="n">
        <x:f>'Revisión origen'!K89</x:f>
        <x:v>16.8</x:v>
      </x:c>
      <x:c r="H82" s="2" t="str">
        <x:v>no</x:v>
      </x:c>
      <x:c r="I82" s="2"/>
      <x:c r="J82" s="8"/>
    </x:row>
    <x:row r="83" ht="24" customHeight="1">
      <x:c r="A83" s="2"/>
      <x:c r="B83" s="2" t="str">
        <x:v>Salsa 240 g</x:v>
      </x:c>
      <x:c r="C83" s="2" t="str">
        <x:v>unidad</x:v>
      </x:c>
      <x:c r="D83" s="2"/>
      <x:c r="E83" s="2" t="str">
        <x:v>Taquera</x:v>
      </x:c>
      <x:c r="F83" s="7" t="n">
        <x:f>'Revisión origen'!J90</x:f>
        <x:v>20</x:v>
      </x:c>
      <x:c r="G83" s="7" t="n">
        <x:f>'Revisión origen'!K90</x:f>
        <x:v>16.8</x:v>
      </x:c>
      <x:c r="H83" s="2" t="str">
        <x:v>no</x:v>
      </x:c>
      <x:c r="I83" s="2"/>
      <x:c r="J83" s="8"/>
    </x:row>
    <x:row r="84" ht="24" customHeight="1">
      <x:c r="A84" s="2"/>
      <x:c r="B84" s="2" t="str">
        <x:v>Oroweat 100% Integral 680 g</x:v>
      </x:c>
      <x:c r="C84" s="2" t="str">
        <x:v>unidad</x:v>
      </x:c>
      <x:c r="D84" s="2"/>
      <x:c r="E84" s="2"/>
      <x:c r="F84" s="7" t="n">
        <x:f>'Revisión origen'!J91</x:f>
        <x:v>80</x:v>
      </x:c>
      <x:c r="G84" s="7" t="n">
        <x:f>'Revisión origen'!K91</x:f>
        <x:v>65.6</x:v>
      </x:c>
      <x:c r="H84" s="2" t="str">
        <x:v>no</x:v>
      </x:c>
      <x:c r="I84" s="2"/>
      <x:c r="J84" s="8"/>
    </x:row>
    <x:row r="85" ht="24" customHeight="1">
      <x:c r="A85" s="2"/>
      <x:c r="B85" s="2" t="str">
        <x:v>Oroweat 12 Granos 680 g</x:v>
      </x:c>
      <x:c r="C85" s="2" t="str">
        <x:v>unidad</x:v>
      </x:c>
      <x:c r="D85" s="2"/>
      <x:c r="E85" s="2"/>
      <x:c r="F85" s="7" t="n">
        <x:f>'Revisión origen'!J92</x:f>
        <x:v>80</x:v>
      </x:c>
      <x:c r="G85" s="7" t="n">
        <x:f>'Revisión origen'!K92</x:f>
        <x:v>65.6</x:v>
      </x:c>
      <x:c r="H85" s="2" t="str">
        <x:v>no</x:v>
      </x:c>
      <x:c r="I85" s="2"/>
      <x:c r="J85" s="8"/>
    </x:row>
    <x:row r="86" ht="24" customHeight="1">
      <x:c r="A86" s="2"/>
      <x:c r="B86" s="2" t="str">
        <x:v>Oroweat Mantequilla ButterMilk 680 g</x:v>
      </x:c>
      <x:c r="C86" s="2" t="str">
        <x:v>unidad</x:v>
      </x:c>
      <x:c r="D86" s="2"/>
      <x:c r="E86" s="2"/>
      <x:c r="F86" s="7" t="n">
        <x:f>'Revisión origen'!J93</x:f>
        <x:v>80</x:v>
      </x:c>
      <x:c r="G86" s="7" t="n">
        <x:f>'Revisión origen'!K93</x:f>
        <x:v>65.6</x:v>
      </x:c>
      <x:c r="H86" s="2" t="str">
        <x:v>no</x:v>
      </x:c>
      <x:c r="I86" s="2"/>
      <x:c r="J86" s="8"/>
    </x:row>
    <x:row r="87" ht="24" customHeight="1">
      <x:c r="A87" s="2"/>
      <x:c r="B87" s="2" t="str">
        <x:v>Oroweat Multigrano 680 g</x:v>
      </x:c>
      <x:c r="C87" s="2" t="str">
        <x:v>unidad</x:v>
      </x:c>
      <x:c r="D87" s="2"/>
      <x:c r="E87" s="2"/>
      <x:c r="F87" s="7" t="n">
        <x:f>'Revisión origen'!J94</x:f>
        <x:v>80</x:v>
      </x:c>
      <x:c r="G87" s="7" t="n">
        <x:f>'Revisión origen'!K94</x:f>
        <x:v>65.6</x:v>
      </x:c>
      <x:c r="H87" s="2" t="str">
        <x:v>no</x:v>
      </x:c>
      <x:c r="I87" s="2"/>
      <x:c r="J87" s="8"/>
    </x:row>
    <x:row r="88" ht="24" customHeight="1">
      <x:c r="A88" s="2"/>
      <x:c r="B88" s="2" t="str">
        <x:v>Oroweat Thins Multigrano 6 p 255 g</x:v>
      </x:c>
      <x:c r="C88" s="2" t="str">
        <x:v>unidad</x:v>
      </x:c>
      <x:c r="D88" s="2"/>
      <x:c r="E88" s="2"/>
      <x:c r="F88" s="7" t="n">
        <x:f>'Revisión origen'!J95</x:f>
        <x:v>35</x:v>
      </x:c>
      <x:c r="G88" s="7" t="n">
        <x:f>'Revisión origen'!K95</x:f>
        <x:v>28.7</x:v>
      </x:c>
      <x:c r="H88" s="2" t="str">
        <x:v>no</x:v>
      </x:c>
      <x:c r="I88" s="2"/>
      <x:c r="J88" s="8"/>
    </x:row>
    <x:row r="89" ht="24" customHeight="1">
      <x:c r="A89" s="2"/>
      <x:c r="B89" s="2" t="str">
        <x:v>Sanissimo Galleta de Arroz y Quinoa 1 p 12 g</x:v>
      </x:c>
      <x:c r="C89" s="2" t="str">
        <x:v>unidad</x:v>
      </x:c>
      <x:c r="D89" s="2"/>
      <x:c r="E89" s="2"/>
      <x:c r="F89" s="7" t="n">
        <x:f>'Revisión origen'!J96</x:f>
        <x:v>8</x:v>
      </x:c>
      <x:c r="G89" s="7" t="n">
        <x:f>'Revisión origen'!K96</x:f>
        <x:v>6.48</x:v>
      </x:c>
      <x:c r="H89" s="2" t="str">
        <x:v>no</x:v>
      </x:c>
      <x:c r="I89" s="2"/>
      <x:c r="J89" s="8"/>
    </x:row>
    <x:row r="90" ht="24" customHeight="1">
      <x:c r="A90" s="2"/>
      <x:c r="B90" s="2" t="str">
        <x:v>Sanissimo Rosquitas Horneadas 20 g</x:v>
      </x:c>
      <x:c r="C90" s="2" t="str">
        <x:v>unidad</x:v>
      </x:c>
      <x:c r="D90" s="2"/>
      <x:c r="E90" s="2"/>
      <x:c r="F90" s="7" t="n">
        <x:f>'Revisión origen'!J97</x:f>
        <x:v>15</x:v>
      </x:c>
      <x:c r="G90" s="7" t="n">
        <x:f>'Revisión origen'!K97</x:f>
        <x:v>12.15</x:v>
      </x:c>
      <x:c r="H90" s="2" t="str">
        <x:v>no</x:v>
      </x:c>
      <x:c r="I90" s="2"/>
      <x:c r="J90" s="8"/>
    </x:row>
    <x:row r="91" ht="24" customHeight="1">
      <x:c r="A91" s="2"/>
      <x:c r="B91" s="2" t="str">
        <x:v>Sanissimo Salmas 90 g</x:v>
      </x:c>
      <x:c r="C91" s="2" t="str">
        <x:v>unidad</x:v>
      </x:c>
      <x:c r="D91" s="2"/>
      <x:c r="E91" s="2"/>
      <x:c r="F91" s="7" t="n">
        <x:f>'Revisión origen'!J98</x:f>
        <x:v>22</x:v>
      </x:c>
      <x:c r="G91" s="7" t="n">
        <x:f>'Revisión origen'!K98</x:f>
        <x:v>17.82</x:v>
      </x:c>
      <x:c r="H91" s="2" t="str">
        <x:v>no</x:v>
      </x:c>
      <x:c r="I91" s="2"/>
      <x:c r="J91" s="8"/>
    </x:row>
    <x:row r="92" ht="24" customHeight="1">
      <x:c r="A92" s="2"/>
      <x:c r="B92" s="2" t="str">
        <x:v>Sanissimo Flow Pack Salmas 8 p 144 g</x:v>
      </x:c>
      <x:c r="C92" s="2" t="str">
        <x:v>unidad</x:v>
      </x:c>
      <x:c r="D92" s="2"/>
      <x:c r="E92" s="2"/>
      <x:c r="F92" s="7" t="n">
        <x:f>'Revisión origen'!J99</x:f>
        <x:v>31</x:v>
      </x:c>
      <x:c r="G92" s="7" t="n">
        <x:f>'Revisión origen'!K99</x:f>
        <x:v>25.11</x:v>
      </x:c>
      <x:c r="H92" s="2" t="str">
        <x:v>no</x:v>
      </x:c>
      <x:c r="I92" s="2"/>
      <x:c r="J92" s="8"/>
    </x:row>
    <x:row r="93" ht="24" customHeight="1">
      <x:c r="A93" s="2"/>
      <x:c r="B93" s="2" t="str">
        <x:v>Sanissimo Tostada Clásica 216 g</x:v>
      </x:c>
      <x:c r="C93" s="2" t="str">
        <x:v>unidad</x:v>
      </x:c>
      <x:c r="D93" s="2"/>
      <x:c r="E93" s="2"/>
      <x:c r="F93" s="7" t="n">
        <x:f>'Revisión origen'!J100</x:f>
        <x:v>36</x:v>
      </x:c>
      <x:c r="G93" s="7" t="n">
        <x:f>'Revisión origen'!K100</x:f>
        <x:v>29.16</x:v>
      </x:c>
      <x:c r="H93" s="2" t="str">
        <x:v>no</x:v>
      </x:c>
      <x:c r="I93" s="2"/>
      <x:c r="J93" s="8"/>
    </x:row>
    <x:row r="94" ht="24" customHeight="1">
      <x:c r="A94" s="2"/>
      <x:c r="B94" s="2" t="str">
        <x:v>Sanissimo Tostaditas Horneadas 20 p 160 g</x:v>
      </x:c>
      <x:c r="C94" s="2" t="str">
        <x:v>unidad</x:v>
      </x:c>
      <x:c r="D94" s="2"/>
      <x:c r="E94" s="2"/>
      <x:c r="F94" s="7" t="n">
        <x:f>'Revisión origen'!J101</x:f>
        <x:v>27</x:v>
      </x:c>
      <x:c r="G94" s="7" t="n">
        <x:f>'Revisión origen'!K101</x:f>
        <x:v>21.87</x:v>
      </x:c>
      <x:c r="H94" s="2" t="str">
        <x:v>no</x:v>
      </x:c>
      <x:c r="I94" s="2"/>
      <x:c r="J94" s="8"/>
    </x:row>
    <x:row r="95" ht="24" customHeight="1">
      <x:c r="A95" s="2"/>
      <x:c r="B95" s="2" t="str">
        <x:v>Coca-Cola 235 ml</x:v>
      </x:c>
      <x:c r="C95" s="2" t="str">
        <x:v>unidad</x:v>
      </x:c>
      <x:c r="D95" s="2"/>
      <x:c r="E95" s="2" t="str">
        <x:v>Vidrio retornable</x:v>
      </x:c>
      <x:c r="F95" s="7" t="n">
        <x:f>'Revisión origen'!J102</x:f>
        <x:v>10</x:v>
      </x:c>
      <x:c r="G95" s="7" t="n">
        <x:f>'Revisión origen'!K102</x:f>
        <x:v>8.75</x:v>
      </x:c>
      <x:c r="H95" s="2" t="str">
        <x:v>no</x:v>
      </x:c>
      <x:c r="I95" s="2"/>
      <x:c r="J95" s="8"/>
    </x:row>
    <x:row r="96" ht="24" customHeight="1">
      <x:c r="A96" s="2"/>
      <x:c r="B96" s="2" t="str">
        <x:v>Coca-Cola 235 ml</x:v>
      </x:c>
      <x:c r="C96" s="2" t="str">
        <x:v>unidad</x:v>
      </x:c>
      <x:c r="D96" s="2"/>
      <x:c r="E96" s="2" t="str">
        <x:v>PET no retornable</x:v>
      </x:c>
      <x:c r="F96" s="7" t="n">
        <x:f>'Revisión origen'!J103</x:f>
        <x:v>10</x:v>
      </x:c>
      <x:c r="G96" s="7" t="n">
        <x:f>'Revisión origen'!K103</x:f>
        <x:v>8.58</x:v>
      </x:c>
      <x:c r="H96" s="2" t="str">
        <x:v>no</x:v>
      </x:c>
      <x:c r="I96" s="2"/>
      <x:c r="J96" s="8"/>
    </x:row>
    <x:row r="97" ht="24" customHeight="1">
      <x:c r="A97" s="2"/>
      <x:c r="B97" s="2" t="str">
        <x:v>Coca-Cola 235 ml</x:v>
      </x:c>
      <x:c r="C97" s="2" t="str">
        <x:v>unidad</x:v>
      </x:c>
      <x:c r="D97" s="2"/>
      <x:c r="E97" s="2" t="str">
        <x:v>Vidrio no retornable</x:v>
      </x:c>
      <x:c r="F97" s="7" t="n">
        <x:f>'Revisión origen'!J104</x:f>
        <x:v>18</x:v>
      </x:c>
      <x:c r="G97" s="7" t="n">
        <x:f>'Revisión origen'!K104</x:f>
        <x:v>15.75</x:v>
      </x:c>
      <x:c r="H97" s="2" t="str">
        <x:v>no</x:v>
      </x:c>
      <x:c r="I97" s="2"/>
      <x:c r="J97" s="8"/>
    </x:row>
    <x:row r="98" ht="24" customHeight="1">
      <x:c r="A98" s="2"/>
      <x:c r="B98" s="2" t="str">
        <x:v>Coca-Cola 500 ml</x:v>
      </x:c>
      <x:c r="C98" s="2" t="str">
        <x:v>unidad</x:v>
      </x:c>
      <x:c r="D98" s="2"/>
      <x:c r="E98" s="2" t="str">
        <x:v>Vidrio retornable</x:v>
      </x:c>
      <x:c r="F98" s="7" t="n">
        <x:f>'Revisión origen'!J105</x:f>
        <x:v>15</x:v>
      </x:c>
      <x:c r="G98" s="7" t="n">
        <x:f>'Revisión origen'!K105</x:f>
        <x:v>13.17</x:v>
      </x:c>
      <x:c r="H98" s="2" t="str">
        <x:v>no</x:v>
      </x:c>
      <x:c r="I98" s="2"/>
      <x:c r="J98" s="8"/>
    </x:row>
    <x:row r="99" ht="24" customHeight="1">
      <x:c r="A99" s="2"/>
      <x:c r="B99" s="2" t="str">
        <x:v>Coca-Cola 500 ml</x:v>
      </x:c>
      <x:c r="C99" s="2" t="str">
        <x:v>unidad</x:v>
      </x:c>
      <x:c r="D99" s="2"/>
      <x:c r="E99" s="2" t="str">
        <x:v>PET no retornable</x:v>
      </x:c>
      <x:c r="F99" s="7" t="n">
        <x:f>'Revisión origen'!J106</x:f>
        <x:v>20</x:v>
      </x:c>
      <x:c r="G99" s="7" t="n">
        <x:f>'Revisión origen'!K106</x:f>
        <x:v>17.5</x:v>
      </x:c>
      <x:c r="H99" s="2" t="str">
        <x:v>no</x:v>
      </x:c>
      <x:c r="I99" s="2"/>
      <x:c r="J99" s="8"/>
    </x:row>
    <x:row r="100" ht="24" customHeight="1">
      <x:c r="A100" s="2"/>
      <x:c r="B100" s="2" t="str">
        <x:v>Coca-Cola 1.5 L</x:v>
      </x:c>
      <x:c r="C100" s="2" t="str">
        <x:v>unidad</x:v>
      </x:c>
      <x:c r="D100" s="2"/>
      <x:c r="E100" s="2" t="str">
        <x:v>PET retornable</x:v>
      </x:c>
      <x:c r="F100" s="7" t="n">
        <x:f>'Revisión origen'!J107</x:f>
        <x:v>24</x:v>
      </x:c>
      <x:c r="G100" s="7" t="n">
        <x:f>'Revisión origen'!K107</x:f>
        <x:v>21.25</x:v>
      </x:c>
      <x:c r="H100" s="2" t="str">
        <x:v>no</x:v>
      </x:c>
      <x:c r="I100" s="2"/>
      <x:c r="J100" s="8"/>
    </x:row>
    <x:row r="101" ht="24" customHeight="1">
      <x:c r="A101" s="2"/>
      <x:c r="B101" s="2" t="str">
        <x:v>Coca-Cola 1.5 L</x:v>
      </x:c>
      <x:c r="C101" s="2" t="str">
        <x:v>unidad</x:v>
      </x:c>
      <x:c r="D101" s="2"/>
      <x:c r="E101" s="2" t="str">
        <x:v>PET no retornable</x:v>
      </x:c>
      <x:c r="F101" s="7" t="n">
        <x:f>'Revisión origen'!J108</x:f>
        <x:v>32</x:v>
      </x:c>
      <x:c r="G101" s="7" t="n">
        <x:f>'Revisión origen'!K108</x:f>
        <x:v>28</x:v>
      </x:c>
      <x:c r="H101" s="2" t="str">
        <x:v>no</x:v>
      </x:c>
      <x:c r="I101" s="2"/>
      <x:c r="J101" s="8"/>
    </x:row>
    <x:row r="102" ht="24" customHeight="1">
      <x:c r="A102" s="2"/>
      <x:c r="B102" s="2" t="str">
        <x:v>Coca-Cola 2.5 L</x:v>
      </x:c>
      <x:c r="C102" s="2" t="str">
        <x:v>unidad</x:v>
      </x:c>
      <x:c r="D102" s="2"/>
      <x:c r="E102" s="2" t="str">
        <x:v>PET retornable</x:v>
      </x:c>
      <x:c r="F102" s="7" t="n">
        <x:f>'Revisión origen'!J109</x:f>
        <x:v>35</x:v>
      </x:c>
      <x:c r="G102" s="7" t="n">
        <x:f>'Revisión origen'!K109</x:f>
        <x:v>30.63</x:v>
      </x:c>
      <x:c r="H102" s="2" t="str">
        <x:v>no</x:v>
      </x:c>
      <x:c r="I102" s="2"/>
      <x:c r="J102" s="8"/>
    </x:row>
    <x:row r="103" ht="24" customHeight="1">
      <x:c r="A103" s="2"/>
      <x:c r="B103" s="2" t="str">
        <x:v>Coca-Cola 2.5 L</x:v>
      </x:c>
      <x:c r="C103" s="2" t="str">
        <x:v>unidad</x:v>
      </x:c>
      <x:c r="D103" s="2"/>
      <x:c r="E103" s="2" t="str">
        <x:v>PET no retornable</x:v>
      </x:c>
      <x:c r="F103" s="7" t="n">
        <x:f>'Revisión origen'!J110</x:f>
        <x:v>43</x:v>
      </x:c>
      <x:c r="G103" s="7" t="n">
        <x:f>'Revisión origen'!K110</x:f>
        <x:v>37.33</x:v>
      </x:c>
      <x:c r="H103" s="2" t="str">
        <x:v>no</x:v>
      </x:c>
      <x:c r="I103" s="2"/>
      <x:c r="J103" s="8"/>
    </x:row>
    <x:row r="104" ht="24" customHeight="1">
      <x:c r="A104" s="2"/>
      <x:c r="B104" s="2" t="str">
        <x:v>Coca-Cola 355 ml</x:v>
      </x:c>
      <x:c r="C104" s="2" t="str">
        <x:v>unidad</x:v>
      </x:c>
      <x:c r="D104" s="2"/>
      <x:c r="E104" s="2" t="str">
        <x:v>Lata</x:v>
      </x:c>
      <x:c r="F104" s="7" t="n">
        <x:f>'Revisión origen'!J111</x:f>
        <x:v>22</x:v>
      </x:c>
      <x:c r="G104" s="7" t="n">
        <x:f>'Revisión origen'!K111</x:f>
        <x:v>19.21</x:v>
      </x:c>
      <x:c r="H104" s="2" t="str">
        <x:v>no</x:v>
      </x:c>
      <x:c r="I104" s="2"/>
      <x:c r="J104" s="8"/>
    </x:row>
    <x:row r="105" ht="24" customHeight="1">
      <x:c r="A105" s="2"/>
      <x:c r="B105" s="2" t="str">
        <x:v>Coca-Cola 355 ml</x:v>
      </x:c>
      <x:c r="C105" s="2" t="str">
        <x:v>unidad</x:v>
      </x:c>
      <x:c r="D105" s="2"/>
      <x:c r="E105" s="2" t="str">
        <x:v>PET no retornable</x:v>
      </x:c>
      <x:c r="F105" s="7" t="n">
        <x:f>'Revisión origen'!J112</x:f>
        <x:v>15</x:v>
      </x:c>
      <x:c r="G105" s="7" t="n">
        <x:f>'Revisión origen'!K112</x:f>
        <x:v>13.08</x:v>
      </x:c>
      <x:c r="H105" s="2" t="str">
        <x:v>no</x:v>
      </x:c>
      <x:c r="I105" s="2"/>
      <x:c r="J105" s="8"/>
    </x:row>
    <x:row r="106" ht="24" customHeight="1">
      <x:c r="A106" s="2"/>
      <x:c r="B106" s="2" t="str">
        <x:v>Coca-Cola 600 ml</x:v>
      </x:c>
      <x:c r="C106" s="2" t="str">
        <x:v>unidad</x:v>
      </x:c>
      <x:c r="D106" s="2"/>
      <x:c r="E106" s="2" t="str">
        <x:v>PET no retornable</x:v>
      </x:c>
      <x:c r="F106" s="7" t="n">
        <x:f>'Revisión origen'!J113</x:f>
        <x:v>22</x:v>
      </x:c>
      <x:c r="G106" s="7" t="n">
        <x:f>'Revisión origen'!K113</x:f>
        <x:v>19.33</x:v>
      </x:c>
      <x:c r="H106" s="2" t="str">
        <x:v>no</x:v>
      </x:c>
      <x:c r="I106" s="2"/>
      <x:c r="J106" s="8"/>
    </x:row>
    <x:row r="107" ht="24" customHeight="1">
      <x:c r="A107" s="2"/>
      <x:c r="B107" s="2" t="str">
        <x:v>Coca-Cola 1 L</x:v>
      </x:c>
      <x:c r="C107" s="2" t="str">
        <x:v>unidad</x:v>
      </x:c>
      <x:c r="D107" s="2"/>
      <x:c r="E107" s="2" t="str">
        <x:v>PET no retornable</x:v>
      </x:c>
      <x:c r="F107" s="7" t="n">
        <x:f>'Revisión origen'!J114</x:f>
        <x:v>27</x:v>
      </x:c>
      <x:c r="G107" s="7" t="n">
        <x:f>'Revisión origen'!K114</x:f>
        <x:v>23.67</x:v>
      </x:c>
      <x:c r="H107" s="2" t="str">
        <x:v>no</x:v>
      </x:c>
      <x:c r="I107" s="2"/>
      <x:c r="J107" s="8"/>
    </x:row>
    <x:row r="108" ht="24" customHeight="1">
      <x:c r="A108" s="2"/>
      <x:c r="B108" s="2" t="str">
        <x:v>Coca-Cola 2 L</x:v>
      </x:c>
      <x:c r="C108" s="2" t="str">
        <x:v>unidad</x:v>
      </x:c>
      <x:c r="D108" s="2"/>
      <x:c r="E108" s="2" t="str">
        <x:v>PET no retornable</x:v>
      </x:c>
      <x:c r="F108" s="7" t="n">
        <x:f>'Revisión origen'!J115</x:f>
        <x:v>40</x:v>
      </x:c>
      <x:c r="G108" s="7" t="n">
        <x:f>'Revisión origen'!K115</x:f>
        <x:v>35.33</x:v>
      </x:c>
      <x:c r="H108" s="2" t="str">
        <x:v>no</x:v>
      </x:c>
      <x:c r="I108" s="2"/>
      <x:c r="J108" s="8"/>
    </x:row>
    <x:row r="109" ht="24" customHeight="1">
      <x:c r="A109" s="2"/>
      <x:c r="B109" s="2" t="str">
        <x:v>Coca-Cola 3 L</x:v>
      </x:c>
      <x:c r="C109" s="2" t="str">
        <x:v>unidad</x:v>
      </x:c>
      <x:c r="D109" s="2"/>
      <x:c r="E109" s="2" t="str">
        <x:v>PET no retornable</x:v>
      </x:c>
      <x:c r="F109" s="7" t="n">
        <x:f>'Revisión origen'!J116</x:f>
        <x:v>53</x:v>
      </x:c>
      <x:c r="G109" s="7" t="n">
        <x:f>'Revisión origen'!K116</x:f>
        <x:v>46.67</x:v>
      </x:c>
      <x:c r="H109" s="2" t="str">
        <x:v>no</x:v>
      </x:c>
      <x:c r="I109" s="2"/>
      <x:c r="J109" s="8"/>
    </x:row>
    <x:row r="110" ht="24" customHeight="1">
      <x:c r="A110" s="2"/>
      <x:c r="B110" s="2" t="str">
        <x:v>Coca-Cola Light 355 ml</x:v>
      </x:c>
      <x:c r="C110" s="2" t="str">
        <x:v>unidad</x:v>
      </x:c>
      <x:c r="D110" s="2"/>
      <x:c r="E110" s="2" t="str">
        <x:v>Lata</x:v>
      </x:c>
      <x:c r="F110" s="7" t="n">
        <x:f>'Revisión origen'!J117</x:f>
        <x:v>22</x:v>
      </x:c>
      <x:c r="G110" s="7" t="n">
        <x:f>'Revisión origen'!K117</x:f>
        <x:v>19.33</x:v>
      </x:c>
      <x:c r="H110" s="2" t="str">
        <x:v>no</x:v>
      </x:c>
      <x:c r="I110" s="2"/>
      <x:c r="J110" s="8"/>
    </x:row>
    <x:row r="111" ht="24" customHeight="1">
      <x:c r="A111" s="2"/>
      <x:c r="B111" s="2" t="str">
        <x:v>Coca-Cola Light 600 ml</x:v>
      </x:c>
      <x:c r="C111" s="2" t="str">
        <x:v>unidad</x:v>
      </x:c>
      <x:c r="D111" s="2"/>
      <x:c r="E111" s="2" t="str">
        <x:v>PET no retornable</x:v>
      </x:c>
      <x:c r="F111" s="7" t="n">
        <x:f>'Revisión origen'!J118</x:f>
        <x:v>22</x:v>
      </x:c>
      <x:c r="G111" s="7" t="n">
        <x:f>'Revisión origen'!K118</x:f>
        <x:v>19.33</x:v>
      </x:c>
      <x:c r="H111" s="2" t="str">
        <x:v>no</x:v>
      </x:c>
      <x:c r="I111" s="2"/>
      <x:c r="J111" s="8"/>
    </x:row>
    <x:row r="112" ht="24" customHeight="1">
      <x:c r="A112" s="2"/>
      <x:c r="B112" s="2" t="str">
        <x:v>Coca-Cola Light 2 L</x:v>
      </x:c>
      <x:c r="C112" s="2" t="str">
        <x:v>unidad</x:v>
      </x:c>
      <x:c r="D112" s="2"/>
      <x:c r="E112" s="2" t="str">
        <x:v>PET no retornable</x:v>
      </x:c>
      <x:c r="F112" s="7" t="n">
        <x:f>'Revisión origen'!J119</x:f>
        <x:v>40</x:v>
      </x:c>
      <x:c r="G112" s="7" t="n">
        <x:f>'Revisión origen'!K119</x:f>
        <x:v>35.33</x:v>
      </x:c>
      <x:c r="H112" s="2" t="str">
        <x:v>no</x:v>
      </x:c>
      <x:c r="I112" s="2"/>
      <x:c r="J112" s="8"/>
    </x:row>
    <x:row r="113" ht="24" customHeight="1">
      <x:c r="A113" s="2"/>
      <x:c r="B113" s="2" t="str">
        <x:v>Coca-Cola Zero 300 ml</x:v>
      </x:c>
      <x:c r="C113" s="2" t="str">
        <x:v>unidad</x:v>
      </x:c>
      <x:c r="D113" s="2"/>
      <x:c r="E113" s="2" t="str">
        <x:v>PET no retornable</x:v>
      </x:c>
      <x:c r="F113" s="7" t="n">
        <x:f>'Revisión origen'!J120</x:f>
        <x:v>9</x:v>
      </x:c>
      <x:c r="G113" s="7" t="n">
        <x:f>'Revisión origen'!K120</x:f>
        <x:v>7.67</x:v>
      </x:c>
      <x:c r="H113" s="2" t="str">
        <x:v>no</x:v>
      </x:c>
      <x:c r="I113" s="2"/>
      <x:c r="J113" s="8"/>
    </x:row>
    <x:row r="114" ht="24" customHeight="1">
      <x:c r="A114" s="2"/>
      <x:c r="B114" s="2" t="str">
        <x:v>Coca-Cola Zero 355 ml</x:v>
      </x:c>
      <x:c r="C114" s="2" t="str">
        <x:v>unidad</x:v>
      </x:c>
      <x:c r="D114" s="2"/>
      <x:c r="E114" s="2" t="str">
        <x:v>Lata</x:v>
      </x:c>
      <x:c r="F114" s="7" t="n">
        <x:f>'Revisión origen'!J121</x:f>
        <x:v>22</x:v>
      </x:c>
      <x:c r="G114" s="7" t="n">
        <x:f>'Revisión origen'!K121</x:f>
        <x:v>19.33</x:v>
      </x:c>
      <x:c r="H114" s="2" t="str">
        <x:v>no</x:v>
      </x:c>
      <x:c r="I114" s="2"/>
      <x:c r="J114" s="8"/>
    </x:row>
    <x:row r="115" ht="24" customHeight="1">
      <x:c r="A115" s="2"/>
      <x:c r="B115" s="2" t="str">
        <x:v>Coca-Cola Zero 355 ml</x:v>
      </x:c>
      <x:c r="C115" s="2" t="str">
        <x:v>unidad</x:v>
      </x:c>
      <x:c r="D115" s="2"/>
      <x:c r="E115" s="2" t="str">
        <x:v>PET no retornable</x:v>
      </x:c>
      <x:c r="F115" s="7" t="n">
        <x:f>'Revisión origen'!J122</x:f>
        <x:v>13</x:v>
      </x:c>
      <x:c r="G115" s="7" t="n">
        <x:f>'Revisión origen'!K122</x:f>
        <x:v>11.42</x:v>
      </x:c>
      <x:c r="H115" s="2" t="str">
        <x:v>no</x:v>
      </x:c>
      <x:c r="I115" s="2"/>
      <x:c r="J115" s="8"/>
    </x:row>
    <x:row r="116" ht="24" customHeight="1">
      <x:c r="A116" s="2"/>
      <x:c r="B116" s="2" t="str">
        <x:v>Coca-Cola Zero 600 ml</x:v>
      </x:c>
      <x:c r="C116" s="2" t="str">
        <x:v>unidad</x:v>
      </x:c>
      <x:c r="D116" s="2"/>
      <x:c r="E116" s="2" t="str">
        <x:v>PET no retornable</x:v>
      </x:c>
      <x:c r="F116" s="7" t="n">
        <x:f>'Revisión origen'!J123</x:f>
        <x:v>20</x:v>
      </x:c>
      <x:c r="G116" s="7" t="n">
        <x:f>'Revisión origen'!K123</x:f>
        <x:v>17.58</x:v>
      </x:c>
      <x:c r="H116" s="2" t="str">
        <x:v>no</x:v>
      </x:c>
      <x:c r="I116" s="2"/>
      <x:c r="J116" s="8"/>
    </x:row>
    <x:row r="117" ht="24" customHeight="1">
      <x:c r="A117" s="2"/>
      <x:c r="B117" s="2" t="str">
        <x:v>Coca-Cola Zero 1.5 L</x:v>
      </x:c>
      <x:c r="C117" s="2" t="str">
        <x:v>unidad</x:v>
      </x:c>
      <x:c r="D117" s="2"/>
      <x:c r="E117" s="2" t="str">
        <x:v>PET no retornable</x:v>
      </x:c>
      <x:c r="F117" s="7" t="n">
        <x:f>'Revisión origen'!J124</x:f>
        <x:v>28</x:v>
      </x:c>
      <x:c r="G117" s="7" t="n">
        <x:f>'Revisión origen'!K124</x:f>
        <x:v>24.5</x:v>
      </x:c>
      <x:c r="H117" s="2" t="str">
        <x:v>no</x:v>
      </x:c>
      <x:c r="I117" s="2"/>
      <x:c r="J117" s="8"/>
    </x:row>
    <x:row r="118" ht="24" customHeight="1">
      <x:c r="A118" s="2"/>
      <x:c r="B118" s="2" t="str">
        <x:v>Coca-Cola Zero 2 L</x:v>
      </x:c>
      <x:c r="C118" s="2" t="str">
        <x:v>unidad</x:v>
      </x:c>
      <x:c r="D118" s="2"/>
      <x:c r="E118" s="2" t="str">
        <x:v>PET no retornable</x:v>
      </x:c>
      <x:c r="F118" s="7" t="n">
        <x:f>'Revisión origen'!J125</x:f>
        <x:v>38</x:v>
      </x:c>
      <x:c r="G118" s="7" t="n">
        <x:f>'Revisión origen'!K125</x:f>
        <x:v>33.5</x:v>
      </x:c>
      <x:c r="H118" s="2" t="str">
        <x:v>no</x:v>
      </x:c>
      <x:c r="I118" s="2"/>
      <x:c r="J118" s="8"/>
    </x:row>
    <x:row r="119" ht="24" customHeight="1">
      <x:c r="A119" s="2"/>
      <x:c r="B119" s="2" t="str">
        <x:v>Refrescos de Sabores 500 ml</x:v>
      </x:c>
      <x:c r="C119" s="2" t="str">
        <x:v>unidad</x:v>
      </x:c>
      <x:c r="D119" s="2"/>
      <x:c r="E119" s="2" t="str">
        <x:v>Vidrio retornable</x:v>
      </x:c>
      <x:c r="F119" s="7" t="n">
        <x:f>'Revisión origen'!J126</x:f>
        <x:v>13</x:v>
      </x:c>
      <x:c r="G119" s="7" t="n">
        <x:f>'Revisión origen'!K126</x:f>
        <x:v>11.04</x:v>
      </x:c>
      <x:c r="H119" s="2" t="str">
        <x:v>no</x:v>
      </x:c>
      <x:c r="I119" s="2"/>
      <x:c r="J119" s="8"/>
    </x:row>
    <x:row r="120" ht="24" customHeight="1">
      <x:c r="A120" s="2"/>
      <x:c r="B120" s="2" t="str">
        <x:v>Refrescos Sabores / VF / CCZ 2.5 L</x:v>
      </x:c>
      <x:c r="C120" s="2" t="str">
        <x:v>unidad</x:v>
      </x:c>
      <x:c r="D120" s="2"/>
      <x:c r="E120" s="2" t="str">
        <x:v>PET retornable</x:v>
      </x:c>
      <x:c r="F120" s="7" t="n">
        <x:f>'Revisión origen'!J127</x:f>
        <x:v>27</x:v>
      </x:c>
      <x:c r="G120" s="7" t="n">
        <x:f>'Revisión origen'!K127</x:f>
        <x:v>23.63</x:v>
      </x:c>
      <x:c r="H120" s="2" t="str">
        <x:v>no</x:v>
      </x:c>
      <x:c r="I120" s="2"/>
      <x:c r="J120" s="8"/>
    </x:row>
    <x:row r="121" ht="24" customHeight="1">
      <x:c r="A121" s="2"/>
      <x:c r="B121" s="2" t="str">
        <x:v>Refrescos de Sabores 300 ml</x:v>
      </x:c>
      <x:c r="C121" s="2" t="str">
        <x:v>unidad</x:v>
      </x:c>
      <x:c r="D121" s="2"/>
      <x:c r="E121" s="2" t="str">
        <x:v>PET no retornable</x:v>
      </x:c>
      <x:c r="F121" s="7" t="n">
        <x:f>'Revisión origen'!J128</x:f>
        <x:v>9</x:v>
      </x:c>
      <x:c r="G121" s="7" t="n">
        <x:f>'Revisión origen'!K128</x:f>
        <x:v>7.67</x:v>
      </x:c>
      <x:c r="H121" s="2" t="str">
        <x:v>no</x:v>
      </x:c>
      <x:c r="I121" s="2"/>
      <x:c r="J121" s="8"/>
    </x:row>
    <x:row r="122" ht="24" customHeight="1">
      <x:c r="A122" s="2"/>
      <x:c r="B122" s="2" t="str">
        <x:v>Refrescos de Sabores Sin Azúcar 300 ml</x:v>
      </x:c>
      <x:c r="C122" s="2" t="str">
        <x:v>unidad</x:v>
      </x:c>
      <x:c r="D122" s="2"/>
      <x:c r="E122" s="2" t="str">
        <x:v>PET no retornable</x:v>
      </x:c>
      <x:c r="F122" s="7" t="n">
        <x:f>'Revisión origen'!J129</x:f>
        <x:v>9</x:v>
      </x:c>
      <x:c r="G122" s="7" t="n">
        <x:f>'Revisión origen'!K129</x:f>
        <x:v>7.67</x:v>
      </x:c>
      <x:c r="H122" s="2" t="str">
        <x:v>no</x:v>
      </x:c>
      <x:c r="I122" s="2"/>
      <x:c r="J122" s="8"/>
    </x:row>
    <x:row r="123" ht="24" customHeight="1">
      <x:c r="A123" s="2"/>
      <x:c r="B123" s="2" t="str">
        <x:v>Refrescos de Sabores 355 ml</x:v>
      </x:c>
      <x:c r="C123" s="2" t="str">
        <x:v>unidad</x:v>
      </x:c>
      <x:c r="D123" s="2"/>
      <x:c r="E123" s="2" t="str">
        <x:v>Lata</x:v>
      </x:c>
      <x:c r="F123" s="7" t="n">
        <x:f>'Revisión origen'!J130</x:f>
        <x:v>22</x:v>
      </x:c>
      <x:c r="G123" s="7" t="n">
        <x:f>'Revisión origen'!K130</x:f>
        <x:v>19</x:v>
      </x:c>
      <x:c r="H123" s="2" t="str">
        <x:v>no</x:v>
      </x:c>
      <x:c r="I123" s="2"/>
      <x:c r="J123" s="8"/>
    </x:row>
    <x:row r="124" ht="24" customHeight="1">
      <x:c r="A124" s="2"/>
      <x:c r="B124" s="2" t="str">
        <x:v>Refrescos Sabores / Delaware / VF 600 ml</x:v>
      </x:c>
      <x:c r="C124" s="2" t="str">
        <x:v>unidad</x:v>
      </x:c>
      <x:c r="D124" s="2"/>
      <x:c r="E124" s="2" t="str">
        <x:v>PET no retornable</x:v>
      </x:c>
      <x:c r="F124" s="7" t="n">
        <x:f>'Revisión origen'!J131</x:f>
        <x:v>20</x:v>
      </x:c>
      <x:c r="G124" s="7" t="n">
        <x:f>'Revisión origen'!K131</x:f>
        <x:v>16.83</x:v>
      </x:c>
      <x:c r="H124" s="2" t="str">
        <x:v>no</x:v>
      </x:c>
      <x:c r="I124" s="2"/>
      <x:c r="J124" s="8"/>
    </x:row>
    <x:row r="125" ht="24" customHeight="1">
      <x:c r="A125" s="2"/>
      <x:c r="B125" s="2" t="str">
        <x:v>Refrescos de Sabores 2 L</x:v>
      </x:c>
      <x:c r="C125" s="2" t="str">
        <x:v>unidad</x:v>
      </x:c>
      <x:c r="D125" s="2"/>
      <x:c r="E125" s="2" t="str">
        <x:v>PET no retornable</x:v>
      </x:c>
      <x:c r="F125" s="7" t="n">
        <x:f>'Revisión origen'!J132</x:f>
        <x:v>30</x:v>
      </x:c>
      <x:c r="G125" s="7" t="n">
        <x:f>'Revisión origen'!K132</x:f>
        <x:v>26</x:v>
      </x:c>
      <x:c r="H125" s="2" t="str">
        <x:v>no</x:v>
      </x:c>
      <x:c r="I125" s="2"/>
      <x:c r="J125" s="8"/>
    </x:row>
    <x:row r="126" ht="24" customHeight="1">
      <x:c r="A126" s="2"/>
      <x:c r="B126" s="2" t="str">
        <x:v>Refrescos de Sabores 3 L</x:v>
      </x:c>
      <x:c r="C126" s="2" t="str">
        <x:v>unidad</x:v>
      </x:c>
      <x:c r="D126" s="2"/>
      <x:c r="E126" s="2" t="str">
        <x:v>PET no retornable</x:v>
      </x:c>
      <x:c r="F126" s="7" t="n">
        <x:f>'Revisión origen'!J133</x:f>
        <x:v>40</x:v>
      </x:c>
      <x:c r="G126" s="7" t="n">
        <x:f>'Revisión origen'!K133</x:f>
        <x:v>34.5</x:v>
      </x:c>
      <x:c r="H126" s="2" t="str">
        <x:v>no</x:v>
      </x:c>
      <x:c r="I126" s="2"/>
      <x:c r="J126" s="8"/>
    </x:row>
    <x:row r="127" ht="24" customHeight="1">
      <x:c r="A127" s="2"/>
      <x:c r="B127" s="2" t="str">
        <x:v>Ciel Purificada 355 ml</x:v>
      </x:c>
      <x:c r="C127" s="2" t="str">
        <x:v>unidad</x:v>
      </x:c>
      <x:c r="D127" s="2"/>
      <x:c r="E127" s="2"/>
      <x:c r="F127" s="7" t="n">
        <x:f>'Revisión origen'!J134</x:f>
        <x:v>8</x:v>
      </x:c>
      <x:c r="G127" s="7" t="n">
        <x:f>'Revisión origen'!K134</x:f>
        <x:v>6.5</x:v>
      </x:c>
      <x:c r="H127" s="2" t="str">
        <x:v>no</x:v>
      </x:c>
      <x:c r="I127" s="2"/>
      <x:c r="J127" s="8"/>
    </x:row>
    <x:row r="128" ht="24" customHeight="1">
      <x:c r="A128" s="2"/>
      <x:c r="B128" s="2" t="str">
        <x:v>Ciel Purificada 600 ml</x:v>
      </x:c>
      <x:c r="C128" s="2" t="str">
        <x:v>unidad</x:v>
      </x:c>
      <x:c r="D128" s="2"/>
      <x:c r="E128" s="2"/>
      <x:c r="F128" s="7" t="n">
        <x:f>'Revisión origen'!J135</x:f>
        <x:v>12</x:v>
      </x:c>
      <x:c r="G128" s="7" t="n">
        <x:f>'Revisión origen'!K135</x:f>
        <x:v>10</x:v>
      </x:c>
      <x:c r="H128" s="2" t="str">
        <x:v>no</x:v>
      </x:c>
      <x:c r="I128" s="2"/>
      <x:c r="J128" s="8"/>
    </x:row>
    <x:row r="129" ht="24" customHeight="1">
      <x:c r="A129" s="2"/>
      <x:c r="B129" s="2" t="str">
        <x:v>Ciel Purificada 1 L</x:v>
      </x:c>
      <x:c r="C129" s="2" t="str">
        <x:v>unidad</x:v>
      </x:c>
      <x:c r="D129" s="2"/>
      <x:c r="E129" s="2"/>
      <x:c r="F129" s="7" t="n">
        <x:f>'Revisión origen'!J136</x:f>
        <x:v>14</x:v>
      </x:c>
      <x:c r="G129" s="7" t="n">
        <x:f>'Revisión origen'!K136</x:f>
        <x:v>11.67</x:v>
      </x:c>
      <x:c r="H129" s="2" t="str">
        <x:v>no</x:v>
      </x:c>
      <x:c r="I129" s="2"/>
      <x:c r="J129" s="8"/>
    </x:row>
    <x:row r="130" ht="24" customHeight="1">
      <x:c r="A130" s="2"/>
      <x:c r="B130" s="2" t="str">
        <x:v>Ciel Purificada 1.5 L</x:v>
      </x:c>
      <x:c r="C130" s="2" t="str">
        <x:v>unidad</x:v>
      </x:c>
      <x:c r="D130" s="2"/>
      <x:c r="E130" s="2"/>
      <x:c r="F130" s="7" t="n">
        <x:f>'Revisión origen'!J137</x:f>
        <x:v>17</x:v>
      </x:c>
      <x:c r="G130" s="7" t="n">
        <x:f>'Revisión origen'!K137</x:f>
        <x:v>14.25</x:v>
      </x:c>
      <x:c r="H130" s="2" t="str">
        <x:v>no</x:v>
      </x:c>
      <x:c r="I130" s="2"/>
      <x:c r="J130" s="8"/>
    </x:row>
    <x:row r="131" ht="24" customHeight="1">
      <x:c r="A131" s="2"/>
      <x:c r="B131" s="2" t="str">
        <x:v>Ciel Purificada 5 L</x:v>
      </x:c>
      <x:c r="C131" s="2" t="str">
        <x:v>unidad</x:v>
      </x:c>
      <x:c r="D131" s="2"/>
      <x:c r="E131" s="2"/>
      <x:c r="F131" s="7" t="n">
        <x:f>'Revisión origen'!J138</x:f>
        <x:v>38</x:v>
      </x:c>
      <x:c r="G131" s="7" t="n">
        <x:f>'Revisión origen'!K138</x:f>
        <x:v>33.25</x:v>
      </x:c>
      <x:c r="H131" s="2" t="str">
        <x:v>no</x:v>
      </x:c>
      <x:c r="I131" s="2"/>
      <x:c r="J131" s="8"/>
    </x:row>
    <x:row r="132" ht="24" customHeight="1">
      <x:c r="A132" s="2"/>
      <x:c r="B132" s="2" t="str">
        <x:v>Ciel Exprim 0% Azúcar 1 L</x:v>
      </x:c>
      <x:c r="C132" s="2" t="str">
        <x:v>unidad</x:v>
      </x:c>
      <x:c r="D132" s="2"/>
      <x:c r="E132" s="2"/>
      <x:c r="F132" s="7" t="n">
        <x:f>'Revisión origen'!J139</x:f>
        <x:v>17</x:v>
      </x:c>
      <x:c r="G132" s="7" t="n">
        <x:f>'Revisión origen'!K139</x:f>
        <x:v>14</x:v>
      </x:c>
      <x:c r="H132" s="2" t="str">
        <x:v>no</x:v>
      </x:c>
      <x:c r="I132" s="2"/>
      <x:c r="J132" s="8"/>
    </x:row>
    <x:row r="133" ht="24" customHeight="1">
      <x:c r="A133" s="2"/>
      <x:c r="B133" s="2" t="str">
        <x:v>Ciel Mineralizada 355 ml</x:v>
      </x:c>
      <x:c r="C133" s="2" t="str">
        <x:v>unidad</x:v>
      </x:c>
      <x:c r="D133" s="2"/>
      <x:c r="E133" s="2"/>
      <x:c r="F133" s="7" t="n">
        <x:f>'Revisión origen'!J140</x:f>
        <x:v>22</x:v>
      </x:c>
      <x:c r="G133" s="7" t="n">
        <x:f>'Revisión origen'!K140</x:f>
        <x:v>19</x:v>
      </x:c>
      <x:c r="H133" s="2" t="str">
        <x:v>no</x:v>
      </x:c>
      <x:c r="I133" s="2"/>
      <x:c r="J133" s="8"/>
    </x:row>
    <x:row r="134" ht="24" customHeight="1">
      <x:c r="A134" s="2"/>
      <x:c r="B134" s="2" t="str">
        <x:v>Ciel Mineralizada 600 ml</x:v>
      </x:c>
      <x:c r="C134" s="2" t="str">
        <x:v>unidad</x:v>
      </x:c>
      <x:c r="D134" s="2"/>
      <x:c r="E134" s="2"/>
      <x:c r="F134" s="7" t="n">
        <x:f>'Revisión origen'!J141</x:f>
        <x:v>19</x:v>
      </x:c>
      <x:c r="G134" s="7" t="n">
        <x:f>'Revisión origen'!K141</x:f>
        <x:v>15</x:v>
      </x:c>
      <x:c r="H134" s="2" t="str">
        <x:v>no</x:v>
      </x:c>
      <x:c r="I134" s="2"/>
      <x:c r="J134" s="8"/>
    </x:row>
    <x:row r="135" ht="24" customHeight="1">
      <x:c r="A135" s="2"/>
      <x:c r="B135" s="2" t="str">
        <x:v>Ciel Mineralizada 2 L</x:v>
      </x:c>
      <x:c r="C135" s="2" t="str">
        <x:v>unidad</x:v>
      </x:c>
      <x:c r="D135" s="2"/>
      <x:c r="E135" s="2"/>
      <x:c r="F135" s="7" t="n">
        <x:f>'Revisión origen'!J142</x:f>
        <x:v>28</x:v>
      </x:c>
      <x:c r="G135" s="7" t="n">
        <x:f>'Revisión origen'!K142</x:f>
        <x:v>24.25</x:v>
      </x:c>
      <x:c r="H135" s="2" t="str">
        <x:v>no</x:v>
      </x:c>
      <x:c r="I135" s="2"/>
      <x:c r="J135" s="8"/>
    </x:row>
    <x:row r="136" ht="24" customHeight="1">
      <x:c r="A136" s="2"/>
      <x:c r="B136" s="2" t="str">
        <x:v>Topo Chico 600 ml</x:v>
      </x:c>
      <x:c r="C136" s="2" t="str">
        <x:v>unidad</x:v>
      </x:c>
      <x:c r="D136" s="2"/>
      <x:c r="E136" s="2"/>
      <x:c r="F136" s="7" t="n">
        <x:f>'Revisión origen'!J143</x:f>
        <x:v>21</x:v>
      </x:c>
      <x:c r="G136" s="7" t="n">
        <x:f>'Revisión origen'!K143</x:f>
        <x:v>18</x:v>
      </x:c>
      <x:c r="H136" s="2" t="str">
        <x:v>no</x:v>
      </x:c>
      <x:c r="I136" s="2"/>
      <x:c r="J136" s="8"/>
    </x:row>
    <x:row r="137" ht="24" customHeight="1">
      <x:c r="A137" s="2"/>
      <x:c r="B137" s="2" t="str">
        <x:v>Topo Chico Twist 600 ml</x:v>
      </x:c>
      <x:c r="C137" s="2" t="str">
        <x:v>unidad</x:v>
      </x:c>
      <x:c r="D137" s="2"/>
      <x:c r="E137" s="2"/>
      <x:c r="F137" s="7" t="n">
        <x:f>'Revisión origen'!J144</x:f>
        <x:v>22</x:v>
      </x:c>
      <x:c r="G137" s="7" t="n">
        <x:f>'Revisión origen'!K144</x:f>
        <x:v>18.83</x:v>
      </x:c>
      <x:c r="H137" s="2" t="str">
        <x:v>no</x:v>
      </x:c>
      <x:c r="I137" s="2"/>
      <x:c r="J137" s="8"/>
    </x:row>
    <x:row r="138" ht="24" customHeight="1">
      <x:c r="A138" s="2"/>
      <x:c r="B138" s="2" t="str">
        <x:v>Topo Chico 1.5 L</x:v>
      </x:c>
      <x:c r="C138" s="2" t="str">
        <x:v>unidad</x:v>
      </x:c>
      <x:c r="D138" s="2"/>
      <x:c r="E138" s="2"/>
      <x:c r="F138" s="7" t="n">
        <x:f>'Revisión origen'!J145</x:f>
        <x:v>29</x:v>
      </x:c>
      <x:c r="G138" s="7" t="n">
        <x:f>'Revisión origen'!K145</x:f>
        <x:v>24.83</x:v>
      </x:c>
      <x:c r="H138" s="2" t="str">
        <x:v>no</x:v>
      </x:c>
      <x:c r="I138" s="2"/>
      <x:c r="J138" s="8"/>
    </x:row>
    <x:row r="139" ht="24" customHeight="1">
      <x:c r="A139" s="2"/>
      <x:c r="B139" s="2" t="str">
        <x:v>Fuze Tea 600 ml</x:v>
      </x:c>
      <x:c r="C139" s="2" t="str">
        <x:v>unidad</x:v>
      </x:c>
      <x:c r="D139" s="2"/>
      <x:c r="E139" s="2"/>
      <x:c r="F139" s="7" t="n">
        <x:f>'Revisión origen'!J146</x:f>
        <x:v>23</x:v>
      </x:c>
      <x:c r="G139" s="7" t="n">
        <x:f>'Revisión origen'!K146</x:f>
        <x:v>19.17</x:v>
      </x:c>
      <x:c r="H139" s="2" t="str">
        <x:v>no</x:v>
      </x:c>
      <x:c r="I139" s="2"/>
      <x:c r="J139" s="8"/>
    </x:row>
    <x:row r="140" ht="24" customHeight="1">
      <x:c r="A140" s="2"/>
      <x:c r="B140" s="2" t="str">
        <x:v>Powerade 1 L</x:v>
      </x:c>
      <x:c r="C140" s="2" t="str">
        <x:v>unidad</x:v>
      </x:c>
      <x:c r="D140" s="2"/>
      <x:c r="E140" s="2"/>
      <x:c r="F140" s="7" t="n">
        <x:f>'Revisión origen'!J147</x:f>
        <x:v>34</x:v>
      </x:c>
      <x:c r="G140" s="7" t="n">
        <x:f>'Revisión origen'!K147</x:f>
        <x:v>28.83</x:v>
      </x:c>
      <x:c r="H140" s="2" t="str">
        <x:v>no</x:v>
      </x:c>
      <x:c r="I140" s="2"/>
      <x:c r="J140" s="8"/>
    </x:row>
    <x:row r="141" ht="24" customHeight="1">
      <x:c r="A141" s="2"/>
      <x:c r="B141" s="2" t="str">
        <x:v>Powerade 500 ml</x:v>
      </x:c>
      <x:c r="C141" s="2" t="str">
        <x:v>unidad</x:v>
      </x:c>
      <x:c r="D141" s="2"/>
      <x:c r="E141" s="2"/>
      <x:c r="F141" s="7" t="n">
        <x:f>'Revisión origen'!J148</x:f>
        <x:v>24</x:v>
      </x:c>
      <x:c r="G141" s="7" t="n">
        <x:f>'Revisión origen'!K148</x:f>
        <x:v>19.83</x:v>
      </x:c>
      <x:c r="H141" s="2" t="str">
        <x:v>no</x:v>
      </x:c>
      <x:c r="I141" s="2"/>
      <x:c r="J141" s="8"/>
    </x:row>
    <x:row r="142" ht="24" customHeight="1">
      <x:c r="A142" s="2"/>
      <x:c r="B142" s="2" t="str">
        <x:v>Powerade 600 ml</x:v>
      </x:c>
      <x:c r="C142" s="2" t="str">
        <x:v>unidad</x:v>
      </x:c>
      <x:c r="D142" s="2"/>
      <x:c r="E142" s="2"/>
      <x:c r="F142" s="7" t="n">
        <x:f>'Revisión origen'!J149</x:f>
        <x:v>26</x:v>
      </x:c>
      <x:c r="G142" s="7" t="n">
        <x:f>'Revisión origen'!K149</x:f>
        <x:v>21.33</x:v>
      </x:c>
      <x:c r="H142" s="2" t="str">
        <x:v>no</x:v>
      </x:c>
      <x:c r="I142" s="2"/>
      <x:c r="J142" s="8"/>
    </x:row>
    <x:row r="143" ht="24" customHeight="1">
      <x:c r="A143" s="2"/>
      <x:c r="B143" s="2" t="str">
        <x:v>Flashlyte Suero 625 ml</x:v>
      </x:c>
      <x:c r="C143" s="2" t="str">
        <x:v>unidad</x:v>
      </x:c>
      <x:c r="D143" s="2"/>
      <x:c r="E143" s="2"/>
      <x:c r="F143" s="7" t="n">
        <x:f>'Revisión origen'!J150</x:f>
        <x:v>22</x:v>
      </x:c>
      <x:c r="G143" s="7" t="n">
        <x:f>'Revisión origen'!K150</x:f>
        <x:v>18.17</x:v>
      </x:c>
      <x:c r="H143" s="2" t="str">
        <x:v>no</x:v>
      </x:c>
      <x:c r="I143" s="2"/>
      <x:c r="J143" s="8"/>
    </x:row>
    <x:row r="144" ht="24" customHeight="1">
      <x:c r="A144" s="2"/>
      <x:c r="B144" s="2" t="str">
        <x:v>Del Valle 237 ml</x:v>
      </x:c>
      <x:c r="C144" s="2" t="str">
        <x:v>unidad</x:v>
      </x:c>
      <x:c r="D144" s="2"/>
      <x:c r="E144" s="2"/>
      <x:c r="F144" s="7" t="n">
        <x:f>'Revisión origen'!J151</x:f>
        <x:v>12</x:v>
      </x:c>
      <x:c r="G144" s="7" t="n">
        <x:f>'Revisión origen'!K151</x:f>
        <x:v>10</x:v>
      </x:c>
      <x:c r="H144" s="2" t="str">
        <x:v>no</x:v>
      </x:c>
      <x:c r="I144" s="2"/>
      <x:c r="J144" s="8"/>
    </x:row>
    <x:row r="145" ht="24" customHeight="1">
      <x:c r="A145" s="2"/>
      <x:c r="B145" s="2" t="str">
        <x:v>Del Valle 413 ml</x:v>
      </x:c>
      <x:c r="C145" s="2" t="str">
        <x:v>unidad</x:v>
      </x:c>
      <x:c r="D145" s="2"/>
      <x:c r="E145" s="2"/>
      <x:c r="F145" s="7" t="n">
        <x:f>'Revisión origen'!J152</x:f>
        <x:v>20</x:v>
      </x:c>
      <x:c r="G145" s="7" t="n">
        <x:f>'Revisión origen'!K152</x:f>
        <x:v>17.75</x:v>
      </x:c>
      <x:c r="H145" s="2" t="str">
        <x:v>no</x:v>
      </x:c>
      <x:c r="I145" s="2"/>
      <x:c r="J145" s="8"/>
    </x:row>
    <x:row r="146" ht="24" customHeight="1">
      <x:c r="A146" s="2"/>
      <x:c r="B146" s="2" t="str">
        <x:v>Frutsi 250 ml</x:v>
      </x:c>
      <x:c r="C146" s="2" t="str">
        <x:v>unidad</x:v>
      </x:c>
      <x:c r="D146" s="2"/>
      <x:c r="E146" s="2"/>
      <x:c r="F146" s="7" t="n">
        <x:f>'Revisión origen'!J153</x:f>
        <x:v>11</x:v>
      </x:c>
      <x:c r="G146" s="7" t="n">
        <x:f>'Revisión origen'!K153</x:f>
        <x:v>8.83</x:v>
      </x:c>
      <x:c r="H146" s="2" t="str">
        <x:v>no</x:v>
      </x:c>
      <x:c r="I146" s="2"/>
      <x:c r="J146" s="8"/>
    </x:row>
    <x:row r="147" ht="24" customHeight="1">
      <x:c r="A147" s="2"/>
      <x:c r="B147" s="2" t="str">
        <x:v>Del Valle 1 L</x:v>
      </x:c>
      <x:c r="C147" s="2" t="str">
        <x:v>unidad</x:v>
      </x:c>
      <x:c r="D147" s="2"/>
      <x:c r="E147" s="2"/>
      <x:c r="F147" s="7" t="n">
        <x:f>'Revisión origen'!J154</x:f>
        <x:v>32</x:v>
      </x:c>
      <x:c r="G147" s="7" t="n">
        <x:f>'Revisión origen'!K154</x:f>
        <x:v>26.67</x:v>
      </x:c>
      <x:c r="H147" s="2" t="str">
        <x:v>no</x:v>
      </x:c>
      <x:c r="I147" s="2"/>
      <x:c r="J147" s="8"/>
    </x:row>
    <x:row r="148" ht="24" customHeight="1">
      <x:c r="A148" s="2"/>
      <x:c r="B148" s="2" t="str">
        <x:v>Valle Frut 600 ml</x:v>
      </x:c>
      <x:c r="C148" s="2" t="str">
        <x:v>unidad</x:v>
      </x:c>
      <x:c r="D148" s="2"/>
      <x:c r="E148" s="2"/>
      <x:c r="F148" s="7" t="n">
        <x:f>'Revisión origen'!J155</x:f>
        <x:v>20</x:v>
      </x:c>
      <x:c r="G148" s="7" t="n">
        <x:f>'Revisión origen'!K155</x:f>
        <x:v>16.83</x:v>
      </x:c>
      <x:c r="H148" s="2" t="str">
        <x:v>no</x:v>
      </x:c>
      <x:c r="I148" s="2"/>
      <x:c r="J148" s="8"/>
    </x:row>
    <x:row r="149" ht="24" customHeight="1">
      <x:c r="A149" s="2"/>
      <x:c r="B149" s="2" t="str">
        <x:v>Valle Frut 2 L</x:v>
      </x:c>
      <x:c r="C149" s="2" t="str">
        <x:v>unidad</x:v>
      </x:c>
      <x:c r="D149" s="2"/>
      <x:c r="E149" s="2"/>
      <x:c r="F149" s="7" t="n">
        <x:f>'Revisión origen'!J156</x:f>
        <x:v>31</x:v>
      </x:c>
      <x:c r="G149" s="7" t="n">
        <x:f>'Revisión origen'!K156</x:f>
        <x:v>25.83</x:v>
      </x:c>
      <x:c r="H149" s="2" t="str">
        <x:v>no</x:v>
      </x:c>
      <x:c r="I149" s="2"/>
      <x:c r="J149" s="8"/>
    </x:row>
    <x:row r="150" ht="24" customHeight="1">
      <x:c r="A150" s="2"/>
      <x:c r="B150" s="2" t="str">
        <x:v>Valle Frut 3 L</x:v>
      </x:c>
      <x:c r="C150" s="2" t="str">
        <x:v>unidad</x:v>
      </x:c>
      <x:c r="D150" s="2"/>
      <x:c r="E150" s="2"/>
      <x:c r="F150" s="7" t="n">
        <x:f>'Revisión origen'!J157</x:f>
        <x:v>41</x:v>
      </x:c>
      <x:c r="G150" s="7" t="n">
        <x:f>'Revisión origen'!K157</x:f>
        <x:v>34.33</x:v>
      </x:c>
      <x:c r="H150" s="2" t="str">
        <x:v>no</x:v>
      </x:c>
      <x:c r="I150" s="2"/>
      <x:c r="J150" s="8"/>
    </x:row>
    <x:row r="151" ht="24" customHeight="1">
      <x:c r="A151" s="2"/>
      <x:c r="B151" s="2" t="str">
        <x:v>Santa Clara Leche UHT 1 L</x:v>
      </x:c>
      <x:c r="C151" s="2" t="str">
        <x:v>unidad</x:v>
      </x:c>
      <x:c r="D151" s="2"/>
      <x:c r="E151" s="2" t="str">
        <x:v>Entera</x:v>
      </x:c>
      <x:c r="F151" s="7" t="n">
        <x:f>'Revisión origen'!J158</x:f>
        <x:v>31</x:v>
      </x:c>
      <x:c r="G151" s="7" t="n">
        <x:f>'Revisión origen'!K158</x:f>
        <x:v>29</x:v>
      </x:c>
      <x:c r="H151" s="2" t="str">
        <x:v>no</x:v>
      </x:c>
      <x:c r="I151" s="2"/>
      <x:c r="J151" s="8"/>
    </x:row>
    <x:row r="152" ht="24" customHeight="1">
      <x:c r="A152" s="2"/>
      <x:c r="B152" s="2" t="str">
        <x:v>Santa Clara Leche UHT 1 L</x:v>
      </x:c>
      <x:c r="C152" s="2" t="str">
        <x:v>unidad</x:v>
      </x:c>
      <x:c r="D152" s="2"/>
      <x:c r="E152" s="2" t="str">
        <x:v>Light</x:v>
      </x:c>
      <x:c r="F152" s="7" t="n">
        <x:f>'Revisión origen'!J159</x:f>
        <x:v>31</x:v>
      </x:c>
      <x:c r="G152" s="7" t="n">
        <x:f>'Revisión origen'!K159</x:f>
        <x:v>29</x:v>
      </x:c>
      <x:c r="H152" s="2" t="str">
        <x:v>no</x:v>
      </x:c>
      <x:c r="I152" s="2"/>
      <x:c r="J152" s="8"/>
    </x:row>
    <x:row r="153" ht="24" customHeight="1">
      <x:c r="A153" s="2"/>
      <x:c r="B153" s="2" t="str">
        <x:v>Santa Clara Leche UHT 1 L</x:v>
      </x:c>
      <x:c r="C153" s="2" t="str">
        <x:v>unidad</x:v>
      </x:c>
      <x:c r="D153" s="2"/>
      <x:c r="E153" s="2" t="str">
        <x:v>Semi</x:v>
      </x:c>
      <x:c r="F153" s="7" t="n">
        <x:f>'Revisión origen'!J160</x:f>
        <x:v>31</x:v>
      </x:c>
      <x:c r="G153" s="7" t="n">
        <x:f>'Revisión origen'!K160</x:f>
        <x:v>29</x:v>
      </x:c>
      <x:c r="H153" s="2" t="str">
        <x:v>no</x:v>
      </x:c>
      <x:c r="I153" s="2"/>
      <x:c r="J153" s="8"/>
    </x:row>
    <x:row r="154" ht="24" customHeight="1">
      <x:c r="A154" s="2"/>
      <x:c r="B154" s="2" t="str">
        <x:v>Santa Clara Leche UHT 1 L</x:v>
      </x:c>
      <x:c r="C154" s="2" t="str">
        <x:v>unidad</x:v>
      </x:c>
      <x:c r="D154" s="2"/>
      <x:c r="E154" s="2" t="str">
        <x:v>Deslactosada</x:v>
      </x:c>
      <x:c r="F154" s="7" t="n">
        <x:f>'Revisión origen'!J161</x:f>
        <x:v>32</x:v>
      </x:c>
      <x:c r="G154" s="7" t="n">
        <x:f>'Revisión origen'!K161</x:f>
        <x:v>30</x:v>
      </x:c>
      <x:c r="H154" s="2" t="str">
        <x:v>no</x:v>
      </x:c>
      <x:c r="I154" s="2"/>
      <x:c r="J154" s="8"/>
    </x:row>
    <x:row r="155" ht="24" customHeight="1">
      <x:c r="A155" s="2"/>
      <x:c r="B155" s="2" t="str">
        <x:v>Santa Clara UHT 180 ml</x:v>
      </x:c>
      <x:c r="C155" s="2" t="str">
        <x:v>unidad</x:v>
      </x:c>
      <x:c r="D155" s="2"/>
      <x:c r="E155" s="2"/>
      <x:c r="F155" s="7" t="n">
        <x:f>'Revisión origen'!J162</x:f>
        <x:v>13</x:v>
      </x:c>
      <x:c r="G155" s="7" t="n">
        <x:f>'Revisión origen'!K162</x:f>
        <x:v>12</x:v>
      </x:c>
      <x:c r="H155" s="2" t="str">
        <x:v>no</x:v>
      </x:c>
      <x:c r="I155" s="2"/>
      <x:c r="J155" s="8"/>
    </x:row>
    <x:row r="156" ht="24" customHeight="1">
      <x:c r="A156" s="2"/>
      <x:c r="B156" s="2" t="str">
        <x:v>Santa Clara UHT 250 ml</x:v>
      </x:c>
      <x:c r="C156" s="2" t="str">
        <x:v>unidad</x:v>
      </x:c>
      <x:c r="D156" s="2"/>
      <x:c r="E156" s="2"/>
      <x:c r="F156" s="7" t="n">
        <x:f>'Revisión origen'!J163</x:f>
        <x:v>20</x:v>
      </x:c>
      <x:c r="G156" s="7" t="n">
        <x:f>'Revisión origen'!K163</x:f>
        <x:v>17.67</x:v>
      </x:c>
      <x:c r="H156" s="2" t="str">
        <x:v>no</x:v>
      </x:c>
      <x:c r="I156" s="2"/>
      <x:c r="J156" s="8"/>
    </x:row>
    <x:row r="157" ht="24" customHeight="1">
      <x:c r="A157" s="2"/>
      <x:c r="B157" s="2" t="str">
        <x:v>Ades Soya Frutal 200 ml</x:v>
      </x:c>
      <x:c r="C157" s="2" t="str">
        <x:v>unidad</x:v>
      </x:c>
      <x:c r="D157" s="2"/>
      <x:c r="E157" s="2"/>
      <x:c r="F157" s="7" t="n">
        <x:f>'Revisión origen'!J164</x:f>
        <x:v>11</x:v>
      </x:c>
      <x:c r="G157" s="7" t="n">
        <x:f>'Revisión origen'!K164</x:f>
        <x:v>9.25</x:v>
      </x:c>
      <x:c r="H157" s="2" t="str">
        <x:v>no</x:v>
      </x:c>
      <x:c r="I157" s="2"/>
      <x:c r="J157" s="8"/>
    </x:row>
    <x:row r="158" ht="24" customHeight="1">
      <x:c r="A158" s="2"/>
      <x:c r="B158" s="2" t="str">
        <x:v>Ades Soya Milk Almendra 946 ml</x:v>
      </x:c>
      <x:c r="C158" s="2" t="str">
        <x:v>unidad</x:v>
      </x:c>
      <x:c r="D158" s="2"/>
      <x:c r="E158" s="2"/>
      <x:c r="F158" s="7" t="n">
        <x:f>'Revisión origen'!J165</x:f>
        <x:v>42</x:v>
      </x:c>
      <x:c r="G158" s="7" t="n">
        <x:f>'Revisión origen'!K165</x:f>
        <x:v>36.67</x:v>
      </x:c>
      <x:c r="H158" s="2" t="str">
        <x:v>no</x:v>
      </x:c>
      <x:c r="I158" s="2"/>
      <x:c r="J158" s="8"/>
    </x:row>
    <x:row r="159" ht="24" customHeight="1">
      <x:c r="A159" s="2"/>
      <x:c r="B159" s="2" t="str">
        <x:v>Ades Soya Milk Natural 946 ml</x:v>
      </x:c>
      <x:c r="C159" s="2" t="str">
        <x:v>unidad</x:v>
      </x:c>
      <x:c r="D159" s="2"/>
      <x:c r="E159" s="2"/>
      <x:c r="F159" s="7" t="n">
        <x:f>'Revisión origen'!J166</x:f>
        <x:v>34</x:v>
      </x:c>
      <x:c r="G159" s="7" t="n">
        <x:f>'Revisión origen'!K166</x:f>
        <x:v>28.67</x:v>
      </x:c>
      <x:c r="H159" s="2" t="str">
        <x:v>no</x:v>
      </x:c>
      <x:c r="I159" s="2"/>
      <x:c r="J159" s="8"/>
    </x:row>
    <x:row r="160" ht="24" customHeight="1">
      <x:c r="A160" s="2"/>
      <x:c r="B160" s="2" t="str">
        <x:v>Monster 473 ml</x:v>
      </x:c>
      <x:c r="C160" s="2" t="str">
        <x:v>unidad</x:v>
      </x:c>
      <x:c r="D160" s="2"/>
      <x:c r="E160" s="2"/>
      <x:c r="F160" s="7" t="n">
        <x:f>'Revisión origen'!J167</x:f>
        <x:v>41</x:v>
      </x:c>
      <x:c r="G160" s="7" t="n">
        <x:f>'Revisión origen'!K167</x:f>
        <x:v>33.5</x:v>
      </x:c>
      <x:c r="H160" s="2" t="str">
        <x:v>no</x:v>
      </x:c>
      <x:c r="I160" s="2"/>
      <x:c r="J160" s="8"/>
    </x:row>
    <x:row r="161" ht="24" customHeight="1">
      <x:c r="A161" s="2"/>
      <x:c r="B161" s="2" t="str">
        <x:v>Predator 473 ml</x:v>
      </x:c>
      <x:c r="C161" s="2" t="str">
        <x:v>unidad</x:v>
      </x:c>
      <x:c r="D161" s="2"/>
      <x:c r="E161" s="2"/>
      <x:c r="F161" s="7" t="n">
        <x:f>'Revisión origen'!J168</x:f>
        <x:v>22</x:v>
      </x:c>
      <x:c r="G161" s="7" t="n">
        <x:f>'Revisión origen'!K168</x:f>
        <x:v>17.5</x:v>
      </x:c>
      <x:c r="H161" s="2" t="str">
        <x:v>no</x:v>
      </x:c>
      <x:c r="I161" s="2"/>
      <x:c r="J161" s="8"/>
    </x:row>
    <x:row r="162" ht="24" customHeight="1">
      <x:c r="A162" s="2"/>
      <x:c r="B162" s="2" t="str">
        <x:v>Bacardí 473 ml</x:v>
      </x:c>
      <x:c r="C162" s="2" t="str">
        <x:v>unidad</x:v>
      </x:c>
      <x:c r="D162" s="2"/>
      <x:c r="E162" s="2"/>
      <x:c r="F162" s="7" t="n">
        <x:f>'Revisión origen'!J169</x:f>
        <x:v>35</x:v>
      </x:c>
      <x:c r="G162" s="7" t="n">
        <x:f>'Revisión origen'!K169</x:f>
        <x:v>28</x:v>
      </x:c>
      <x:c r="H162" s="2" t="str">
        <x:v>no</x:v>
      </x:c>
      <x:c r="I162" s="2"/>
      <x:c r="J162" s="8"/>
    </x:row>
    <x:row r="163" ht="24" customHeight="1">
      <x:c r="A163" s="2"/>
      <x:c r="B163" s="2" t="str">
        <x:v>Topo Chico 473 ml</x:v>
      </x:c>
      <x:c r="C163" s="2" t="str">
        <x:v>unidad</x:v>
      </x:c>
      <x:c r="D163" s="2"/>
      <x:c r="E163" s="2" t="str">
        <x:v>Paloma</x:v>
      </x:c>
      <x:c r="F163" s="7" t="n">
        <x:f>'Revisión origen'!J170</x:f>
        <x:v>34</x:v>
      </x:c>
      <x:c r="G163" s="7" t="n">
        <x:f>'Revisión origen'!K170</x:f>
        <x:v>27.33</x:v>
      </x:c>
      <x:c r="H163" s="2" t="str">
        <x:v>no</x:v>
      </x:c>
      <x:c r="I163" s="2"/>
      <x:c r="J163" s="8"/>
    </x:row>
    <x:row r="164" ht="24" customHeight="1">
      <x:c r="A164" s="2"/>
      <x:c r="B164" s="2" t="str">
        <x:v>Topo Chico 473 ml</x:v>
      </x:c>
      <x:c r="C164" s="2" t="str">
        <x:v>unidad</x:v>
      </x:c>
      <x:c r="D164" s="2"/>
      <x:c r="E164" s="2" t="str">
        <x:v>Cantarito</x:v>
      </x:c>
      <x:c r="F164" s="7" t="n">
        <x:f>'Revisión origen'!J171</x:f>
        <x:v>34</x:v>
      </x:c>
      <x:c r="G164" s="7" t="n">
        <x:f>'Revisión origen'!K171</x:f>
        <x:v>27.33</x:v>
      </x:c>
      <x:c r="H164" s="2" t="str">
        <x:v>no</x:v>
      </x:c>
      <x:c r="I164" s="2"/>
      <x:c r="J164" s="8"/>
    </x:row>
    <x:row r="165" ht="24" customHeight="1">
      <x:c r="A165" s="2"/>
      <x:c r="B165" s="2" t="str">
        <x:v>Dany 125 g</x:v>
      </x:c>
      <x:c r="C165" s="2" t="str">
        <x:v>unidad</x:v>
      </x:c>
      <x:c r="D165" s="2"/>
      <x:c r="E165" s="2"/>
      <x:c r="F165" s="7" t="n">
        <x:f>'Revisión origen'!J172</x:f>
        <x:v>11</x:v>
      </x:c>
      <x:c r="G165" s="7" t="n">
        <x:f>'Revisión origen'!K172</x:f>
        <x:v>8.8</x:v>
      </x:c>
      <x:c r="H165" s="2" t="str">
        <x:v>no</x:v>
      </x:c>
      <x:c r="I165" s="2"/>
      <x:c r="J165" s="8"/>
    </x:row>
    <x:row r="166" ht="24" customHeight="1">
      <x:c r="A166" s="2"/>
      <x:c r="B166" s="2" t="str">
        <x:v>Dany Pouch 125 g</x:v>
      </x:c>
      <x:c r="C166" s="2" t="str">
        <x:v>unidad</x:v>
      </x:c>
      <x:c r="D166" s="2"/>
      <x:c r="E166" s="2"/>
      <x:c r="F166" s="7" t="n">
        <x:f>'Revisión origen'!J173</x:f>
        <x:v>16</x:v>
      </x:c>
      <x:c r="G166" s="7" t="n">
        <x:f>'Revisión origen'!K173</x:f>
        <x:v>13.2</x:v>
      </x:c>
      <x:c r="H166" s="2" t="str">
        <x:v>no</x:v>
      </x:c>
      <x:c r="I166" s="2"/>
      <x:c r="J166" s="8"/>
    </x:row>
    <x:row r="167" ht="24" customHeight="1">
      <x:c r="A167" s="2"/>
      <x:c r="B167" s="2" t="str">
        <x:v>Danette Flan - pieza de par 200 g</x:v>
      </x:c>
      <x:c r="C167" s="2" t="str">
        <x:v>unidad</x:v>
      </x:c>
      <x:c r="D167" s="2"/>
      <x:c r="E167" s="2"/>
      <x:c r="F167" s="7" t="n">
        <x:f>'Revisión origen'!J174</x:f>
        <x:v>13</x:v>
      </x:c>
      <x:c r="G167" s="7" t="n">
        <x:f>'Revisión origen'!K174</x:f>
        <x:v>10.4</x:v>
      </x:c>
      <x:c r="H167" s="2" t="str">
        <x:v>no</x:v>
      </x:c>
      <x:c r="I167" s="2"/>
      <x:c r="J167" s="8"/>
    </x:row>
    <x:row r="168" ht="24" customHeight="1">
      <x:c r="A168" s="2"/>
      <x:c r="B168" s="2" t="str">
        <x:v>Danone Gelatina Leche - pieza de par</x:v>
      </x:c>
      <x:c r="C168" s="2" t="str">
        <x:v>unidad</x:v>
      </x:c>
      <x:c r="D168" s="2"/>
      <x:c r="E168" s="2"/>
      <x:c r="F168" s="7" t="n">
        <x:f>'Revisión origen'!J175</x:f>
        <x:v>15</x:v>
      </x:c>
      <x:c r="G168" s="7" t="n">
        <x:f>'Revisión origen'!K175</x:f>
        <x:v>12.2</x:v>
      </x:c>
      <x:c r="H168" s="2" t="str">
        <x:v>no</x:v>
      </x:c>
      <x:c r="I168" s="2"/>
      <x:c r="J168" s="8"/>
    </x:row>
    <x:row r="169" ht="24" customHeight="1">
      <x:c r="A169" s="2"/>
      <x:c r="B169" s="2" t="str">
        <x:v>Danette Natilla - pieza de par 100 g</x:v>
      </x:c>
      <x:c r="C169" s="2" t="str">
        <x:v>unidad</x:v>
      </x:c>
      <x:c r="D169" s="2"/>
      <x:c r="E169" s="2"/>
      <x:c r="F169" s="7" t="n">
        <x:f>'Revisión origen'!J176</x:f>
        <x:v>15</x:v>
      </x:c>
      <x:c r="G169" s="7" t="n">
        <x:f>'Revisión origen'!K176</x:f>
        <x:v>12.6</x:v>
      </x:c>
      <x:c r="H169" s="2" t="str">
        <x:v>no</x:v>
      </x:c>
      <x:c r="I169" s="2"/>
      <x:c r="J169" s="8"/>
    </x:row>
    <x:row r="170" ht="24" customHeight="1">
      <x:c r="A170" s="2"/>
      <x:c r="B170" s="2" t="str">
        <x:v>Danonino Maxi - pieza de cuadro 336 g</x:v>
      </x:c>
      <x:c r="C170" s="2" t="str">
        <x:v>unidad</x:v>
      </x:c>
      <x:c r="D170" s="2"/>
      <x:c r="E170" s="2"/>
      <x:c r="F170" s="7" t="n">
        <x:f>'Revisión origen'!J177</x:f>
        <x:v>11</x:v>
      </x:c>
      <x:c r="G170" s="7" t="n">
        <x:f>'Revisión origen'!K177</x:f>
        <x:v>8.83</x:v>
      </x:c>
      <x:c r="H170" s="2" t="str">
        <x:v>no</x:v>
      </x:c>
      <x:c r="I170" s="2"/>
      <x:c r="J170" s="8"/>
    </x:row>
    <x:row r="171" ht="24" customHeight="1">
      <x:c r="A171" s="2"/>
      <x:c r="B171" s="2" t="str">
        <x:v>Danonino - pieza de cuadro 168 g</x:v>
      </x:c>
      <x:c r="C171" s="2" t="str">
        <x:v>unidad</x:v>
      </x:c>
      <x:c r="D171" s="2"/>
      <x:c r="E171" s="2"/>
      <x:c r="F171" s="7" t="n">
        <x:f>'Revisión origen'!J178</x:f>
        <x:v>8</x:v>
      </x:c>
      <x:c r="G171" s="7" t="n">
        <x:f>'Revisión origen'!K178</x:f>
        <x:v>6.4</x:v>
      </x:c>
      <x:c r="H171" s="2" t="str">
        <x:v>no</x:v>
      </x:c>
      <x:c r="I171" s="2"/>
      <x:c r="J171" s="8"/>
    </x:row>
    <x:row r="172" ht="24" customHeight="1">
      <x:c r="A172" s="2"/>
      <x:c r="B172" s="2" t="str">
        <x:v>Danonino Pouch 70 g</x:v>
      </x:c>
      <x:c r="C172" s="2" t="str">
        <x:v>unidad</x:v>
      </x:c>
      <x:c r="D172" s="2"/>
      <x:c r="E172" s="2"/>
      <x:c r="F172" s="7" t="n">
        <x:f>'Revisión origen'!J179</x:f>
        <x:v>15</x:v>
      </x:c>
      <x:c r="G172" s="7" t="n">
        <x:f>'Revisión origen'!K179</x:f>
        <x:v>12.2</x:v>
      </x:c>
      <x:c r="H172" s="2" t="str">
        <x:v>no</x:v>
      </x:c>
      <x:c r="I172" s="2"/>
      <x:c r="J172" s="8"/>
    </x:row>
    <x:row r="173" ht="24" customHeight="1">
      <x:c r="A173" s="2"/>
      <x:c r="B173" s="2" t="str">
        <x:v>Danonino Bebible 90 g</x:v>
      </x:c>
      <x:c r="C173" s="2" t="str">
        <x:v>unidad</x:v>
      </x:c>
      <x:c r="D173" s="2"/>
      <x:c r="E173" s="2"/>
      <x:c r="F173" s="7" t="n">
        <x:f>'Revisión origen'!J180</x:f>
        <x:v>10</x:v>
      </x:c>
      <x:c r="G173" s="7" t="n">
        <x:f>'Revisión origen'!K180</x:f>
        <x:v>8.2</x:v>
      </x:c>
      <x:c r="H173" s="2" t="str">
        <x:v>no</x:v>
      </x:c>
      <x:c r="I173" s="2"/>
      <x:c r="J173" s="8"/>
    </x:row>
    <x:row r="174" ht="24" customHeight="1">
      <x:c r="A174" s="2"/>
      <x:c r="B174" s="2" t="str">
        <x:v>Danonino Bebible 170 g</x:v>
      </x:c>
      <x:c r="C174" s="2" t="str">
        <x:v>unidad</x:v>
      </x:c>
      <x:c r="D174" s="2"/>
      <x:c r="E174" s="2"/>
      <x:c r="F174" s="7" t="n">
        <x:f>'Revisión origen'!J181</x:f>
        <x:v>13</x:v>
      </x:c>
      <x:c r="G174" s="7" t="n">
        <x:f>'Revisión origen'!K181</x:f>
        <x:v>10.4</x:v>
      </x:c>
      <x:c r="H174" s="2" t="str">
        <x:v>no</x:v>
      </x:c>
      <x:c r="I174" s="2"/>
      <x:c r="J174" s="8"/>
    </x:row>
    <x:row r="175" ht="24" customHeight="1">
      <x:c r="A175" s="2"/>
      <x:c r="B175" s="2" t="str">
        <x:v>Danup 220 g</x:v>
      </x:c>
      <x:c r="C175" s="2" t="str">
        <x:v>unidad</x:v>
      </x:c>
      <x:c r="D175" s="2"/>
      <x:c r="E175" s="2"/>
      <x:c r="F175" s="7" t="n">
        <x:f>'Revisión origen'!J182</x:f>
        <x:v>19</x:v>
      </x:c>
      <x:c r="G175" s="7" t="n">
        <x:f>'Revisión origen'!K182</x:f>
        <x:v>15.2</x:v>
      </x:c>
      <x:c r="H175" s="2" t="str">
        <x:v>no</x:v>
      </x:c>
      <x:c r="I175" s="2"/>
      <x:c r="J175" s="8"/>
    </x:row>
    <x:row r="176" ht="24" customHeight="1">
      <x:c r="A176" s="2"/>
      <x:c r="B176" s="2" t="str">
        <x:v>Danup 350 g</x:v>
      </x:c>
      <x:c r="C176" s="2" t="str">
        <x:v>unidad</x:v>
      </x:c>
      <x:c r="D176" s="2"/>
      <x:c r="E176" s="2"/>
      <x:c r="F176" s="7" t="n">
        <x:f>'Revisión origen'!J183</x:f>
        <x:v>24</x:v>
      </x:c>
      <x:c r="G176" s="7" t="n">
        <x:f>'Revisión origen'!K183</x:f>
        <x:v>19.4</x:v>
      </x:c>
      <x:c r="H176" s="2" t="str">
        <x:v>no</x:v>
      </x:c>
      <x:c r="I176" s="2"/>
      <x:c r="J176" s="8"/>
    </x:row>
    <x:row r="177" ht="24" customHeight="1">
      <x:c r="A177" s="2"/>
      <x:c r="B177" s="2" t="str">
        <x:v>Danup 435 g</x:v>
      </x:c>
      <x:c r="C177" s="2" t="str">
        <x:v>unidad</x:v>
      </x:c>
      <x:c r="D177" s="2"/>
      <x:c r="E177" s="2"/>
      <x:c r="F177" s="7" t="n">
        <x:f>'Revisión origen'!J184</x:f>
        <x:v>27</x:v>
      </x:c>
      <x:c r="G177" s="7" t="n">
        <x:f>'Revisión origen'!K184</x:f>
        <x:v>21.9</x:v>
      </x:c>
      <x:c r="H177" s="2" t="str">
        <x:v>no</x:v>
      </x:c>
      <x:c r="I177" s="2"/>
      <x:c r="J177" s="8"/>
    </x:row>
    <x:row r="178" ht="24" customHeight="1">
      <x:c r="A178" s="2"/>
      <x:c r="B178" s="2" t="str">
        <x:v>Danone Licuado 475 g</x:v>
      </x:c>
      <x:c r="C178" s="2" t="str">
        <x:v>unidad</x:v>
      </x:c>
      <x:c r="D178" s="2"/>
      <x:c r="E178" s="2"/>
      <x:c r="F178" s="7" t="n">
        <x:f>'Revisión origen'!J185</x:f>
        <x:v>27</x:v>
      </x:c>
      <x:c r="G178" s="7" t="n">
        <x:f>'Revisión origen'!K185</x:f>
        <x:v>21.9</x:v>
      </x:c>
      <x:c r="H178" s="2" t="str">
        <x:v>no</x:v>
      </x:c>
      <x:c r="I178" s="2"/>
      <x:c r="J178" s="8"/>
    </x:row>
    <x:row r="179" ht="24" customHeight="1">
      <x:c r="A179" s="2"/>
      <x:c r="B179" s="2" t="str">
        <x:v>Activia 225 g</x:v>
      </x:c>
      <x:c r="C179" s="2" t="str">
        <x:v>unidad</x:v>
      </x:c>
      <x:c r="D179" s="2"/>
      <x:c r="E179" s="2"/>
      <x:c r="F179" s="7" t="n">
        <x:f>'Revisión origen'!J186</x:f>
        <x:v>19</x:v>
      </x:c>
      <x:c r="G179" s="7" t="n">
        <x:f>'Revisión origen'!K186</x:f>
        <x:v>15.8</x:v>
      </x:c>
      <x:c r="H179" s="2" t="str">
        <x:v>no</x:v>
      </x:c>
      <x:c r="I179" s="2"/>
      <x:c r="J179" s="8"/>
    </x:row>
    <x:row r="180" ht="24" customHeight="1">
      <x:c r="A180" s="2"/>
      <x:c r="B180" s="2" t="str">
        <x:v>Benegastro 240 g</x:v>
      </x:c>
      <x:c r="C180" s="2" t="str">
        <x:v>unidad</x:v>
      </x:c>
      <x:c r="D180" s="2"/>
      <x:c r="E180" s="2"/>
      <x:c r="F180" s="7" t="n">
        <x:f>'Revisión origen'!J187</x:f>
        <x:v>20</x:v>
      </x:c>
      <x:c r="G180" s="7" t="n">
        <x:f>'Revisión origen'!K187</x:f>
        <x:v>16.6</x:v>
      </x:c>
      <x:c r="H180" s="2" t="str">
        <x:v>no</x:v>
      </x:c>
      <x:c r="I180" s="2"/>
      <x:c r="J180" s="8"/>
    </x:row>
    <x:row r="181" ht="24" customHeight="1">
      <x:c r="A181" s="2"/>
      <x:c r="B181" s="2" t="str">
        <x:v>Danone 220 g</x:v>
      </x:c>
      <x:c r="C181" s="2" t="str">
        <x:v>unidad</x:v>
      </x:c>
      <x:c r="D181" s="2"/>
      <x:c r="E181" s="2"/>
      <x:c r="F181" s="7" t="n">
        <x:f>'Revisión origen'!J188</x:f>
        <x:v>19</x:v>
      </x:c>
      <x:c r="G181" s="7" t="n">
        <x:f>'Revisión origen'!K188</x:f>
        <x:v>15.2</x:v>
      </x:c>
      <x:c r="H181" s="2" t="str">
        <x:v>no</x:v>
      </x:c>
      <x:c r="I181" s="2"/>
      <x:c r="J181" s="8"/>
    </x:row>
    <x:row r="182" ht="24" customHeight="1">
      <x:c r="A182" s="2"/>
      <x:c r="B182" s="2" t="str">
        <x:v>Danone Bipack 140 g</x:v>
      </x:c>
      <x:c r="C182" s="2" t="str">
        <x:v>unidad</x:v>
      </x:c>
      <x:c r="D182" s="2"/>
      <x:c r="E182" s="2"/>
      <x:c r="F182" s="7" t="n">
        <x:f>'Revisión origen'!J189</x:f>
        <x:v>17</x:v>
      </x:c>
      <x:c r="G182" s="7" t="n">
        <x:f>'Revisión origen'!K189</x:f>
        <x:v>13.7</x:v>
      </x:c>
      <x:c r="H182" s="2" t="str">
        <x:v>no</x:v>
      </x:c>
      <x:c r="I182" s="2"/>
      <x:c r="J182" s="8"/>
    </x:row>
    <x:row r="183" ht="24" customHeight="1">
      <x:c r="A183" s="2"/>
      <x:c r="B183" s="2" t="str">
        <x:v>Danone Fruta - pieza de par 240 g</x:v>
      </x:c>
      <x:c r="C183" s="2" t="str">
        <x:v>unidad</x:v>
      </x:c>
      <x:c r="D183" s="2"/>
      <x:c r="E183" s="2"/>
      <x:c r="F183" s="7" t="n">
        <x:f>'Revisión origen'!J190</x:f>
        <x:v>9</x:v>
      </x:c>
      <x:c r="G183" s="7" t="n">
        <x:f>'Revisión origen'!K190</x:f>
        <x:v>3.6</x:v>
      </x:c>
      <x:c r="H183" s="2" t="str">
        <x:v>no</x:v>
      </x:c>
      <x:c r="I183" s="2"/>
      <x:c r="J183" s="8"/>
    </x:row>
    <x:row r="184" ht="24" customHeight="1">
      <x:c r="A184" s="2"/>
      <x:c r="B184" s="2" t="str">
        <x:v>Danone Griegos 120 g</x:v>
      </x:c>
      <x:c r="C184" s="2" t="str">
        <x:v>unidad</x:v>
      </x:c>
      <x:c r="D184" s="2"/>
      <x:c r="E184" s="2"/>
      <x:c r="F184" s="7" t="n">
        <x:f>'Revisión origen'!J191</x:f>
        <x:v>11</x:v>
      </x:c>
      <x:c r="G184" s="7" t="n">
        <x:f>'Revisión origen'!K191</x:f>
        <x:v>8.9</x:v>
      </x:c>
      <x:c r="H184" s="2" t="str">
        <x:v>no</x:v>
      </x:c>
      <x:c r="I184" s="2"/>
      <x:c r="J184" s="8"/>
    </x:row>
    <x:row r="185" ht="24" customHeight="1">
      <x:c r="A185" s="2"/>
      <x:c r="B185" s="2" t="str">
        <x:v>Oikos Selecto 220 g</x:v>
      </x:c>
      <x:c r="C185" s="2" t="str">
        <x:v>unidad</x:v>
      </x:c>
      <x:c r="D185" s="2"/>
      <x:c r="E185" s="2"/>
      <x:c r="F185" s="7" t="n">
        <x:f>'Revisión origen'!J192</x:f>
        <x:v>23</x:v>
      </x:c>
      <x:c r="G185" s="7" t="n">
        <x:f>'Revisión origen'!K192</x:f>
        <x:v>18.3</x:v>
      </x:c>
      <x:c r="H185" s="2" t="str">
        <x:v>no</x:v>
      </x:c>
      <x:c r="I185" s="2"/>
      <x:c r="J185" s="8"/>
    </x:row>
    <x:row r="186" ht="24" customHeight="1">
      <x:c r="A186" s="2"/>
      <x:c r="B186" s="2" t="str">
        <x:v>Oikos Pro 220 g</x:v>
      </x:c>
      <x:c r="C186" s="2" t="str">
        <x:v>unidad</x:v>
      </x:c>
      <x:c r="D186" s="2"/>
      <x:c r="E186" s="2"/>
      <x:c r="F186" s="7" t="n">
        <x:f>'Revisión origen'!J193</x:f>
        <x:v>30</x:v>
      </x:c>
      <x:c r="G186" s="7" t="n">
        <x:f>'Revisión origen'!K193</x:f>
        <x:v>24</x:v>
      </x:c>
      <x:c r="H186" s="2" t="str">
        <x:v>no</x:v>
      </x:c>
      <x:c r="I186" s="2"/>
      <x:c r="J186" s="8"/>
    </x:row>
    <x:row r="187" ht="24" customHeight="1">
      <x:c r="A187" s="2"/>
      <x:c r="B187" s="2" t="str">
        <x:v>Oikos Pro UHT 300 ml</x:v>
      </x:c>
      <x:c r="C187" s="2" t="str">
        <x:v>unidad</x:v>
      </x:c>
      <x:c r="D187" s="2"/>
      <x:c r="E187" s="2"/>
      <x:c r="F187" s="7" t="n">
        <x:f>'Revisión origen'!J194</x:f>
        <x:v>30</x:v>
      </x:c>
      <x:c r="G187" s="7" t="n">
        <x:f>'Revisión origen'!K194</x:f>
        <x:v>24</x:v>
      </x:c>
      <x:c r="H187" s="2" t="str">
        <x:v>no</x:v>
      </x:c>
      <x:c r="I187" s="2"/>
      <x:c r="J187" s="8"/>
    </x:row>
    <x:row r="188" ht="24" customHeight="1">
      <x:c r="A188" s="2"/>
      <x:c r="B188" s="2" t="str">
        <x:v>Oikos 125 g</x:v>
      </x:c>
      <x:c r="C188" s="2" t="str">
        <x:v>unidad</x:v>
      </x:c>
      <x:c r="D188" s="2"/>
      <x:c r="E188" s="2"/>
      <x:c r="F188" s="7" t="n">
        <x:f>'Revisión origen'!J195</x:f>
        <x:v>17</x:v>
      </x:c>
      <x:c r="G188" s="7" t="n">
        <x:f>'Revisión origen'!K195</x:f>
        <x:v>13.8</x:v>
      </x:c>
      <x:c r="H188" s="2" t="str">
        <x:v>no</x:v>
      </x:c>
      <x:c r="I188" s="2"/>
      <x:c r="J188" s="8"/>
    </x:row>
    <x:row r="189" ht="24" customHeight="1">
      <x:c r="A189" s="2"/>
      <x:c r="B189" s="2" t="str">
        <x:v>Danmix 110 g</x:v>
      </x:c>
      <x:c r="C189" s="2" t="str">
        <x:v>unidad</x:v>
      </x:c>
      <x:c r="D189" s="2"/>
      <x:c r="E189" s="2"/>
      <x:c r="F189" s="7" t="n">
        <x:f>'Revisión origen'!J196</x:f>
        <x:v>24</x:v>
      </x:c>
      <x:c r="G189" s="7" t="n">
        <x:f>'Revisión origen'!K196</x:f>
        <x:v>19.7</x:v>
      </x:c>
      <x:c r="H189" s="2" t="str">
        <x:v>no</x:v>
      </x:c>
      <x:c r="I189" s="2"/>
      <x:c r="J189" s="8"/>
    </x:row>
    <x:row r="190" ht="24" customHeight="1">
      <x:c r="A190" s="2"/>
      <x:c r="B190" s="2" t="str">
        <x:v>Leche Hershey's 200 ml</x:v>
      </x:c>
      <x:c r="C190" s="2" t="str">
        <x:v>unidad</x:v>
      </x:c>
      <x:c r="D190" s="2"/>
      <x:c r="E190" s="2"/>
      <x:c r="F190" s="7" t="n">
        <x:f>'Revisión origen'!J197</x:f>
        <x:v>17</x:v>
      </x:c>
      <x:c r="G190" s="7" t="n">
        <x:f>'Revisión origen'!K197</x:f>
        <x:v>14</x:v>
      </x:c>
      <x:c r="H190" s="2" t="str">
        <x:v>no</x:v>
      </x:c>
      <x:c r="I190" s="2"/>
      <x:c r="J190" s="8"/>
    </x:row>
    <x:row r="191" ht="24" customHeight="1">
      <x:c r="A191" s="2"/>
      <x:c r="B191" s="2" t="str">
        <x:v>Ocean Spray 1 L</x:v>
      </x:c>
      <x:c r="C191" s="2" t="str">
        <x:v>unidad</x:v>
      </x:c>
      <x:c r="D191" s="2"/>
      <x:c r="E191" s="2"/>
      <x:c r="F191" s="7" t="n">
        <x:f>'Revisión origen'!J198</x:f>
        <x:v>43</x:v>
      </x:c>
      <x:c r="G191" s="7" t="n">
        <x:f>'Revisión origen'!K198</x:f>
        <x:v>35</x:v>
      </x:c>
      <x:c r="H191" s="2" t="str">
        <x:v>no</x:v>
      </x:c>
      <x:c r="I191" s="2"/>
      <x:c r="J191" s="8"/>
    </x:row>
    <x:row r="192" ht="24" customHeight="1">
      <x:c r="A192" s="2"/>
      <x:c r="B192" s="2" t="str">
        <x:v>Silk 946 ml</x:v>
      </x:c>
      <x:c r="C192" s="2" t="str">
        <x:v>unidad</x:v>
      </x:c>
      <x:c r="D192" s="2"/>
      <x:c r="E192" s="2"/>
      <x:c r="F192" s="7" t="n">
        <x:f>'Revisión origen'!J199</x:f>
        <x:v>57</x:v>
      </x:c>
      <x:c r="G192" s="7" t="n">
        <x:f>'Revisión origen'!K199</x:f>
        <x:v>48</x:v>
      </x:c>
      <x:c r="H192" s="2" t="str">
        <x:v>no</x:v>
      </x:c>
      <x:c r="I192" s="2"/>
      <x:c r="J192" s="8"/>
    </x:row>
  </x:sheetData>
  <x:pageMargins left="0.7" right="0.7" top="0.75" bottom="0.75" header="0.3" footer="0.3"/>
  <x:tableParts count="1">
    <x:tablePart xmlns:r="http://schemas.openxmlformats.org/officeDocument/2006/relationships" r:id="Rd2bc7246da0e418f"/>
  </x:tableParts>
</x:worksheet>
</file>

<file path=xl/worksheets/sheet2.xml><?xml version="1.0" encoding="utf-8"?>
<x:worksheet xmlns:x="http://schemas.openxmlformats.org/spreadsheetml/2006/main">
  <x:sheetPr>
    <x:tabColor rgb="FF8297A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29" hidden="0" customWidth="1"/>
    <x:col min="4" max="4" width="60" hidden="0" customWidth="1"/>
    <x:col min="5" max="5" width="63" hidden="0" customWidth="1"/>
    <x:col min="6" max="6" width="27" hidden="0" customWidth="1"/>
    <x:col min="7" max="7" width="23" hidden="0" customWidth="1"/>
    <x:col min="8" max="8" width="21" hidden="0" customWidth="1"/>
    <x:col min="9" max="9" width="23" hidden="0" customWidth="1"/>
    <x:col min="10" max="10" width="23" hidden="0" customWidth="1"/>
    <x:col min="11" max="11" width="23" hidden="0" customWidth="1"/>
    <x:col min="12" max="12" width="24" hidden="0" customWidth="1"/>
    <x:col min="13" max="13" width="110" hidden="0" customWidth="1"/>
    <x:col min="14" max="14" width="34" hidden="0" customWidth="1"/>
  </x:cols>
  <x:sheetData>
    <x:row r="2" ht="30" customHeight="1">
      <x:c r="A2" s="10" t="str">
        <x:v>Catálogo para el POS - revisión de origen</x:v>
      </x:c>
    </x:row>
    <x:row r="3" ht="23" customHeight="1">
      <x:c r="A3" s="11" t="str">
        <x:v>172 artículos · 191 variantes · 179 renglones del PDF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23" customHeight="1">
      <x:c r="A4" s="11" t="str">
        <x:v>Coste por pieza = precio de compra / piezas de compra, redondeado a centavos. Panificados conservan el paquete de venta.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 ht="23" customHeight="1">
      <x:c r="A5" s="11" t="str">
        <x:v>Categorías, existencias y códigos de barras vacíos. Seguimiento de existencias: no. Importar el CSV adjunto.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23" customHeight="1">
      <x:c r="A6" s="11" t="str">
        <x:v>Fuente: catalogo3.pdf, páginas 1-3. Se conservan los precios y las vigencias de cada lista.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8" ht="40" customHeight="1">
      <x:c r="A8" s="6" t="str">
        <x:v>Renglón origen</x:v>
      </x:c>
      <x:c r="B8" s="6" t="str">
        <x:v>Página</x:v>
      </x:c>
      <x:c r="C8" s="6" t="str">
        <x:v>Sección de la lista</x:v>
      </x:c>
      <x:c r="D8" s="6" t="str">
        <x:v>Producto en la lista</x:v>
      </x:c>
      <x:c r="E8" s="6" t="str">
        <x:v>nombre_articulo</x:v>
      </x:c>
      <x:c r="F8" s="6" t="str">
        <x:v>nombre_variante</x:v>
      </x:c>
      <x:c r="G8" s="6" t="str">
        <x:v>Empaque de compra</x:v>
      </x:c>
      <x:c r="H8" s="6" t="str">
        <x:v>Piezas por compra</x:v>
      </x:c>
      <x:c r="I8" s="6" t="str">
        <x:v>Precio de compra MXN</x:v>
      </x:c>
      <x:c r="J8" s="6" t="str">
        <x:v>Precio público MXN</x:v>
      </x:c>
      <x:c r="K8" s="6" t="str">
        <x:v>Coste por pieza MXN</x:v>
      </x:c>
      <x:c r="L8" s="6" t="str">
        <x:v>Utilidad por caja MXN</x:v>
      </x:c>
      <x:c r="M8" s="6" t="str">
        <x:v>Observaciones</x:v>
      </x:c>
      <x:c r="N8" s="6" t="str">
        <x:v>Vigencia de la lista</x:v>
      </x:c>
    </x:row>
    <x:row r="9" ht="24" customHeight="1">
      <x:c r="A9" s="9" t="n">
        <x:v>1</x:v>
      </x:c>
      <x:c r="B9" s="9" t="n">
        <x:v>1</x:v>
      </x:c>
      <x:c r="C9" s="2" t="str">
        <x:v>Pan dulce</x:v>
      </x:c>
      <x:c r="D9" s="2" t="str">
        <x:v>Bimbuñuelos 6 p 99 g (Canela)</x:v>
      </x:c>
      <x:c r="E9" s="2" t="str">
        <x:v>Bimbo Bimbuñuelos 6 p 99 g (Canela)</x:v>
      </x:c>
      <x:c r="F9" s="2"/>
      <x:c r="G9" s="2" t="str">
        <x:v>Presentación de la lista</x:v>
      </x:c>
      <x:c r="H9" s="9" t="n">
        <x:v>1</x:v>
      </x:c>
      <x:c r="I9" s="7" t="n">
        <x:v>18.26</x:v>
      </x:c>
      <x:c r="J9" s="7" t="n">
        <x:v>22</x:v>
      </x:c>
      <x:c r="K9" s="7" t="n">
        <x:f>ROUND(ROUND(I9*100,0)/H9,0)/100</x:f>
        <x:v>18.26</x:v>
      </x:c>
      <x:c r="L9" s="7"/>
      <x:c r="M9" s="12"/>
      <x:c r="N9" s="2" t="str">
        <x:v>Desde 11 de agosto de 2025</x:v>
      </x:c>
    </x:row>
    <x:row r="10" ht="24" customHeight="1">
      <x:c r="A10" s="9" t="n">
        <x:v>2</x:v>
      </x:c>
      <x:c r="B10" s="9" t="n">
        <x:v>1</x:v>
      </x:c>
      <x:c r="C10" s="2" t="str">
        <x:v>Pan dulce</x:v>
      </x:c>
      <x:c r="D10" s="2" t="str">
        <x:v>Colchones 6 p 130 g</x:v>
      </x:c>
      <x:c r="E10" s="2" t="str">
        <x:v>Bimbo Colchones 6 p 130 g</x:v>
      </x:c>
      <x:c r="F10" s="2"/>
      <x:c r="G10" s="2" t="str">
        <x:v>Presentación de la lista</x:v>
      </x:c>
      <x:c r="H10" s="9" t="n">
        <x:v>1</x:v>
      </x:c>
      <x:c r="I10" s="7" t="n">
        <x:v>13.28</x:v>
      </x:c>
      <x:c r="J10" s="7" t="n">
        <x:v>16</x:v>
      </x:c>
      <x:c r="K10" s="7" t="n">
        <x:f>ROUND(ROUND(I10*100,0)/H10,0)/100</x:f>
        <x:v>13.28</x:v>
      </x:c>
      <x:c r="L10" s="7"/>
      <x:c r="M10" s="12"/>
      <x:c r="N10" s="2" t="str">
        <x:v>Desde 11 de agosto de 2025</x:v>
      </x:c>
    </x:row>
    <x:row r="11" ht="24" customHeight="1">
      <x:c r="A11" s="9" t="n">
        <x:v>3</x:v>
      </x:c>
      <x:c r="B11" s="9" t="n">
        <x:v>1</x:v>
      </x:c>
      <x:c r="C11" s="2" t="str">
        <x:v>Pan dulce</x:v>
      </x:c>
      <x:c r="D11" s="2" t="str">
        <x:v>Concha Vainilla 1 p 60 g</x:v>
      </x:c>
      <x:c r="E11" s="2" t="str">
        <x:v>Bimbo Concha Vainilla 1 p 60 g</x:v>
      </x:c>
      <x:c r="F11" s="2"/>
      <x:c r="G11" s="2" t="str">
        <x:v>Presentación de la lista</x:v>
      </x:c>
      <x:c r="H11" s="9" t="n">
        <x:v>1</x:v>
      </x:c>
      <x:c r="I11" s="7" t="n">
        <x:v>8.3</x:v>
      </x:c>
      <x:c r="J11" s="7" t="n">
        <x:v>10</x:v>
      </x:c>
      <x:c r="K11" s="7" t="n">
        <x:f>ROUND(ROUND(I11*100,0)/H11,0)/100</x:f>
        <x:v>8.3</x:v>
      </x:c>
      <x:c r="L11" s="7"/>
      <x:c r="M11" s="12"/>
      <x:c r="N11" s="2" t="str">
        <x:v>Desde 11 de agosto de 2025</x:v>
      </x:c>
    </x:row>
    <x:row r="12" ht="24" customHeight="1">
      <x:c r="A12" s="9" t="n">
        <x:v>4</x:v>
      </x:c>
      <x:c r="B12" s="9" t="n">
        <x:v>1</x:v>
      </x:c>
      <x:c r="C12" s="2" t="str">
        <x:v>Pan dulce</x:v>
      </x:c>
      <x:c r="D12" s="2" t="str">
        <x:v>Conchas 2 p 120 g</x:v>
      </x:c>
      <x:c r="E12" s="2" t="str">
        <x:v>Bimbo Conchas 2 p 120 g</x:v>
      </x:c>
      <x:c r="F12" s="2"/>
      <x:c r="G12" s="2" t="str">
        <x:v>Presentación de la lista</x:v>
      </x:c>
      <x:c r="H12" s="9" t="n">
        <x:v>1</x:v>
      </x:c>
      <x:c r="I12" s="7" t="n">
        <x:v>16.6</x:v>
      </x:c>
      <x:c r="J12" s="7" t="n">
        <x:v>20</x:v>
      </x:c>
      <x:c r="K12" s="7" t="n">
        <x:f>ROUND(ROUND(I12*100,0)/H12,0)/100</x:f>
        <x:v>16.6</x:v>
      </x:c>
      <x:c r="L12" s="7"/>
      <x:c r="M12" s="12"/>
      <x:c r="N12" s="2" t="str">
        <x:v>Desde 11 de agosto de 2025</x:v>
      </x:c>
    </x:row>
    <x:row r="13" ht="24" customHeight="1">
      <x:c r="A13" s="9" t="n">
        <x:v>5</x:v>
      </x:c>
      <x:c r="B13" s="9" t="n">
        <x:v>1</x:v>
      </x:c>
      <x:c r="C13" s="2" t="str">
        <x:v>Pan dulce</x:v>
      </x:c>
      <x:c r="D13" s="2" t="str">
        <x:v>Crossantines Choco 1 p 32 g</x:v>
      </x:c>
      <x:c r="E13" s="2" t="str">
        <x:v>Bimbo Crossantines Choco 1 p 32 g</x:v>
      </x:c>
      <x:c r="F13" s="2"/>
      <x:c r="G13" s="2" t="str">
        <x:v>Presentación de la lista</x:v>
      </x:c>
      <x:c r="H13" s="9" t="n">
        <x:v>1</x:v>
      </x:c>
      <x:c r="I13" s="7" t="n">
        <x:v>6.64</x:v>
      </x:c>
      <x:c r="J13" s="7" t="n">
        <x:v>8</x:v>
      </x:c>
      <x:c r="K13" s="7" t="n">
        <x:f>ROUND(ROUND(I13*100,0)/H13,0)/100</x:f>
        <x:v>6.64</x:v>
      </x:c>
      <x:c r="L13" s="7"/>
      <x:c r="M13" s="12"/>
      <x:c r="N13" s="2" t="str">
        <x:v>Desde 11 de agosto de 2025</x:v>
      </x:c>
    </x:row>
    <x:row r="14" ht="24" customHeight="1">
      <x:c r="A14" s="9" t="n">
        <x:v>6</x:v>
      </x:c>
      <x:c r="B14" s="9" t="n">
        <x:v>1</x:v>
      </x:c>
      <x:c r="C14" s="2" t="str">
        <x:v>Pan dulce</x:v>
      </x:c>
      <x:c r="D14" s="2" t="str">
        <x:v>Crossantines Choco 3 p 96 g</x:v>
      </x:c>
      <x:c r="E14" s="2" t="str">
        <x:v>Bimbo Crossantines Choco 3 p 96 g</x:v>
      </x:c>
      <x:c r="F14" s="2"/>
      <x:c r="G14" s="2" t="str">
        <x:v>Presentación de la lista</x:v>
      </x:c>
      <x:c r="H14" s="9" t="n">
        <x:v>1</x:v>
      </x:c>
      <x:c r="I14" s="7" t="n">
        <x:v>16.6</x:v>
      </x:c>
      <x:c r="J14" s="7" t="n">
        <x:v>20</x:v>
      </x:c>
      <x:c r="K14" s="7" t="n">
        <x:f>ROUND(ROUND(I14*100,0)/H14,0)/100</x:f>
        <x:v>16.6</x:v>
      </x:c>
      <x:c r="L14" s="7"/>
      <x:c r="M14" s="12"/>
      <x:c r="N14" s="2" t="str">
        <x:v>Desde 11 de agosto de 2025</x:v>
      </x:c>
    </x:row>
    <x:row r="15" ht="24" customHeight="1">
      <x:c r="A15" s="9" t="n">
        <x:v>7</x:v>
      </x:c>
      <x:c r="B15" s="9" t="n">
        <x:v>1</x:v>
      </x:c>
      <x:c r="C15" s="2" t="str">
        <x:v>Pan dulce</x:v>
      </x:c>
      <x:c r="D15" s="2" t="str">
        <x:v>Donas Azucaradas 6 p 158 g</x:v>
      </x:c>
      <x:c r="E15" s="2" t="str">
        <x:v>Bimbo Donas Azucaradas 6 p 158 g</x:v>
      </x:c>
      <x:c r="F15" s="2"/>
      <x:c r="G15" s="2" t="str">
        <x:v>Presentación de la lista</x:v>
      </x:c>
      <x:c r="H15" s="9" t="n">
        <x:v>1</x:v>
      </x:c>
      <x:c r="I15" s="7" t="n">
        <x:v>18.26</x:v>
      </x:c>
      <x:c r="J15" s="7" t="n">
        <x:v>22</x:v>
      </x:c>
      <x:c r="K15" s="7" t="n">
        <x:f>ROUND(ROUND(I15*100,0)/H15,0)/100</x:f>
        <x:v>18.26</x:v>
      </x:c>
      <x:c r="L15" s="7"/>
      <x:c r="M15" s="12"/>
      <x:c r="N15" s="2" t="str">
        <x:v>Desde 11 de agosto de 2025</x:v>
      </x:c>
    </x:row>
    <x:row r="16" ht="24" customHeight="1">
      <x:c r="A16" s="9" t="n">
        <x:v>8</x:v>
      </x:c>
      <x:c r="B16" s="9" t="n">
        <x:v>1</x:v>
      </x:c>
      <x:c r="C16" s="2" t="str">
        <x:v>Pan dulce</x:v>
      </x:c>
      <x:c r="D16" s="2" t="str">
        <x:v>Doners 120 g</x:v>
      </x:c>
      <x:c r="E16" s="2" t="str">
        <x:v>Bimbo Doners 120 g</x:v>
      </x:c>
      <x:c r="F16" s="2"/>
      <x:c r="G16" s="2" t="str">
        <x:v>Presentación de la lista</x:v>
      </x:c>
      <x:c r="H16" s="9" t="n">
        <x:v>1</x:v>
      </x:c>
      <x:c r="I16" s="7" t="n">
        <x:v>20.75</x:v>
      </x:c>
      <x:c r="J16" s="7" t="n">
        <x:v>25</x:v>
      </x:c>
      <x:c r="K16" s="7" t="n">
        <x:f>ROUND(ROUND(I16*100,0)/H16,0)/100</x:f>
        <x:v>20.75</x:v>
      </x:c>
      <x:c r="L16" s="7"/>
      <x:c r="M16" s="12"/>
      <x:c r="N16" s="2" t="str">
        <x:v>Desde 11 de agosto de 2025</x:v>
      </x:c>
    </x:row>
    <x:row r="17" ht="24" customHeight="1">
      <x:c r="A17" s="9" t="n">
        <x:v>9</x:v>
      </x:c>
      <x:c r="B17" s="9" t="n">
        <x:v>1</x:v>
      </x:c>
      <x:c r="C17" s="2" t="str">
        <x:v>Pan dulce</x:v>
      </x:c>
      <x:c r="D17" s="2" t="str">
        <x:v>Donitas Espolvoreadas 52.5 g</x:v>
      </x:c>
      <x:c r="E17" s="2" t="str">
        <x:v>Bimbo Donitas Espolvoreadas 52.5 g</x:v>
      </x:c>
      <x:c r="F17" s="2"/>
      <x:c r="G17" s="2" t="str">
        <x:v>Presentación de la lista</x:v>
      </x:c>
      <x:c r="H17" s="9" t="n">
        <x:v>1</x:v>
      </x:c>
      <x:c r="I17" s="7" t="n">
        <x:v>8.3</x:v>
      </x:c>
      <x:c r="J17" s="7" t="n">
        <x:v>10</x:v>
      </x:c>
      <x:c r="K17" s="7" t="n">
        <x:f>ROUND(ROUND(I17*100,0)/H17,0)/100</x:f>
        <x:v>8.3</x:v>
      </x:c>
      <x:c r="L17" s="7"/>
      <x:c r="M17" s="12"/>
      <x:c r="N17" s="2" t="str">
        <x:v>Desde 11 de agosto de 2025</x:v>
      </x:c>
    </x:row>
    <x:row r="18" ht="24" customHeight="1">
      <x:c r="A18" s="9" t="n">
        <x:v>10</x:v>
      </x:c>
      <x:c r="B18" s="9" t="n">
        <x:v>1</x:v>
      </x:c>
      <x:c r="C18" s="2" t="str">
        <x:v>Pan dulce</x:v>
      </x:c>
      <x:c r="D18" s="2" t="str">
        <x:v>Donitas Espolvoreadas 8 p 140 g</x:v>
      </x:c>
      <x:c r="E18" s="2" t="str">
        <x:v>Bimbo Donitas Espolvoreadas 8 p 140 g</x:v>
      </x:c>
      <x:c r="F18" s="2"/>
      <x:c r="G18" s="2" t="str">
        <x:v>Presentación de la lista</x:v>
      </x:c>
      <x:c r="H18" s="9" t="n">
        <x:v>1</x:v>
      </x:c>
      <x:c r="I18" s="7" t="n">
        <x:v>18.26</x:v>
      </x:c>
      <x:c r="J18" s="7" t="n">
        <x:v>22</x:v>
      </x:c>
      <x:c r="K18" s="7" t="n">
        <x:f>ROUND(ROUND(I18*100,0)/H18,0)/100</x:f>
        <x:v>18.26</x:v>
      </x:c>
      <x:c r="L18" s="7"/>
      <x:c r="M18" s="12"/>
      <x:c r="N18" s="2" t="str">
        <x:v>Desde 11 de agosto de 2025</x:v>
      </x:c>
    </x:row>
    <x:row r="19" ht="24" customHeight="1">
      <x:c r="A19" s="9" t="n">
        <x:v>11</x:v>
      </x:c>
      <x:c r="B19" s="9" t="n">
        <x:v>1</x:v>
      </x:c>
      <x:c r="C19" s="2" t="str">
        <x:v>Pan dulce</x:v>
      </x:c>
      <x:c r="D19" s="2" t="str">
        <x:v>Dúo Nito 124 g</x:v>
      </x:c>
      <x:c r="E19" s="2" t="str">
        <x:v>Bimbo Dúo Nito 124 g</x:v>
      </x:c>
      <x:c r="F19" s="2"/>
      <x:c r="G19" s="2" t="str">
        <x:v>Presentación de la lista</x:v>
      </x:c>
      <x:c r="H19" s="9" t="n">
        <x:v>1</x:v>
      </x:c>
      <x:c r="I19" s="7" t="n">
        <x:v>23.52</x:v>
      </x:c>
      <x:c r="J19" s="7" t="n">
        <x:v>28</x:v>
      </x:c>
      <x:c r="K19" s="7" t="n">
        <x:f>ROUND(ROUND(I19*100,0)/H19,0)/100</x:f>
        <x:v>23.52</x:v>
      </x:c>
      <x:c r="L19" s="7"/>
      <x:c r="M19" s="12"/>
      <x:c r="N19" s="2" t="str">
        <x:v>Desde 11 de agosto de 2025</x:v>
      </x:c>
    </x:row>
    <x:row r="20" ht="24" customHeight="1">
      <x:c r="A20" s="9" t="n">
        <x:v>12</x:v>
      </x:c>
      <x:c r="B20" s="9" t="n">
        <x:v>1</x:v>
      </x:c>
      <x:c r="C20" s="2" t="str">
        <x:v>Pan dulce</x:v>
      </x:c>
      <x:c r="D20" s="2" t="str">
        <x:v>Hotkis Cajeta 1 p 38 g</x:v>
      </x:c>
      <x:c r="E20" s="2" t="str">
        <x:v>Bimbo Hotkis Cajeta 1 p 38 g</x:v>
      </x:c>
      <x:c r="F20" s="2"/>
      <x:c r="G20" s="2" t="str">
        <x:v>Presentación de la lista</x:v>
      </x:c>
      <x:c r="H20" s="9" t="n">
        <x:v>1</x:v>
      </x:c>
      <x:c r="I20" s="7" t="n">
        <x:v>6.64</x:v>
      </x:c>
      <x:c r="J20" s="7" t="n">
        <x:v>8</x:v>
      </x:c>
      <x:c r="K20" s="7" t="n">
        <x:f>ROUND(ROUND(I20*100,0)/H20,0)/100</x:f>
        <x:v>6.64</x:v>
      </x:c>
      <x:c r="L20" s="7"/>
      <x:c r="M20" s="12"/>
      <x:c r="N20" s="2" t="str">
        <x:v>Desde 11 de agosto de 2025</x:v>
      </x:c>
    </x:row>
    <x:row r="21" ht="24" customHeight="1">
      <x:c r="A21" s="9" t="n">
        <x:v>13</x:v>
      </x:c>
      <x:c r="B21" s="9" t="n">
        <x:v>1</x:v>
      </x:c>
      <x:c r="C21" s="2" t="str">
        <x:v>Pan dulce</x:v>
      </x:c>
      <x:c r="D21" s="2" t="str">
        <x:v>Little Bites Chispas 69 g</x:v>
      </x:c>
      <x:c r="E21" s="2" t="str">
        <x:v>Bimbo Little Bites Chispas 69 g</x:v>
      </x:c>
      <x:c r="F21" s="2"/>
      <x:c r="G21" s="2" t="str">
        <x:v>Presentación de la lista</x:v>
      </x:c>
      <x:c r="H21" s="9" t="n">
        <x:v>1</x:v>
      </x:c>
      <x:c r="I21" s="7" t="n">
        <x:v>12.45</x:v>
      </x:c>
      <x:c r="J21" s="7" t="n">
        <x:v>15</x:v>
      </x:c>
      <x:c r="K21" s="7" t="n">
        <x:f>ROUND(ROUND(I21*100,0)/H21,0)/100</x:f>
        <x:v>12.45</x:v>
      </x:c>
      <x:c r="L21" s="7"/>
      <x:c r="M21" s="12"/>
      <x:c r="N21" s="2" t="str">
        <x:v>Desde 11 de agosto de 2025</x:v>
      </x:c>
    </x:row>
    <x:row r="22" ht="24" customHeight="1">
      <x:c r="A22" s="9" t="n">
        <x:v>14</x:v>
      </x:c>
      <x:c r="B22" s="9" t="n">
        <x:v>1</x:v>
      </x:c>
      <x:c r="C22" s="2" t="str">
        <x:v>Pan dulce</x:v>
      </x:c>
      <x:c r="D22" s="2" t="str">
        <x:v>Madalenas 3 p 93 g</x:v>
      </x:c>
      <x:c r="E22" s="2" t="str">
        <x:v>Bimbo Madalenas 3 p 93 g</x:v>
      </x:c>
      <x:c r="F22" s="2"/>
      <x:c r="G22" s="2" t="str">
        <x:v>Presentación de la lista</x:v>
      </x:c>
      <x:c r="H22" s="9" t="n">
        <x:v>1</x:v>
      </x:c>
      <x:c r="I22" s="7" t="n">
        <x:v>18.26</x:v>
      </x:c>
      <x:c r="J22" s="7" t="n">
        <x:v>22</x:v>
      </x:c>
      <x:c r="K22" s="7" t="n">
        <x:f>ROUND(ROUND(I22*100,0)/H22,0)/100</x:f>
        <x:v>18.26</x:v>
      </x:c>
      <x:c r="L22" s="7"/>
      <x:c r="M22" s="12"/>
      <x:c r="N22" s="2" t="str">
        <x:v>Desde 11 de agosto de 2025</x:v>
      </x:c>
    </x:row>
    <x:row r="23" ht="24" customHeight="1">
      <x:c r="A23" s="9" t="n">
        <x:v>15</x:v>
      </x:c>
      <x:c r="B23" s="9" t="n">
        <x:v>1</x:v>
      </x:c>
      <x:c r="C23" s="2" t="str">
        <x:v>Pan dulce</x:v>
      </x:c>
      <x:c r="D23" s="2" t="str">
        <x:v>Mantecadas Vainilla 2 p 62.5 g</x:v>
      </x:c>
      <x:c r="E23" s="2" t="str">
        <x:v>Bimbo Mantecadas Vainilla 2 p 62.5 g</x:v>
      </x:c>
      <x:c r="F23" s="2"/>
      <x:c r="G23" s="2" t="str">
        <x:v>Presentación de la lista</x:v>
      </x:c>
      <x:c r="H23" s="9" t="n">
        <x:v>1</x:v>
      </x:c>
      <x:c r="I23" s="7" t="n">
        <x:v>9.96</x:v>
      </x:c>
      <x:c r="J23" s="7" t="n">
        <x:v>12</x:v>
      </x:c>
      <x:c r="K23" s="7" t="n">
        <x:f>ROUND(ROUND(I23*100,0)/H23,0)/100</x:f>
        <x:v>9.96</x:v>
      </x:c>
      <x:c r="L23" s="7"/>
      <x:c r="M23" s="12"/>
      <x:c r="N23" s="2" t="str">
        <x:v>Desde 11 de agosto de 2025</x:v>
      </x:c>
    </x:row>
    <x:row r="24" ht="24" customHeight="1">
      <x:c r="A24" s="9" t="n">
        <x:v>16</x:v>
      </x:c>
      <x:c r="B24" s="9" t="n">
        <x:v>1</x:v>
      </x:c>
      <x:c r="C24" s="2" t="str">
        <x:v>Pan dulce</x:v>
      </x:c>
      <x:c r="D24" s="2" t="str">
        <x:v>Mantecadas Chispas de Chocolate 190 g</x:v>
      </x:c>
      <x:c r="E24" s="2" t="str">
        <x:v>Bimbo Mantecadas Chispas de Chocolate 190 g</x:v>
      </x:c>
      <x:c r="F24" s="2"/>
      <x:c r="G24" s="2" t="str">
        <x:v>Presentación de la lista</x:v>
      </x:c>
      <x:c r="H24" s="9" t="n">
        <x:v>1</x:v>
      </x:c>
      <x:c r="I24" s="7" t="n">
        <x:v>26.56</x:v>
      </x:c>
      <x:c r="J24" s="7" t="n">
        <x:v>32</x:v>
      </x:c>
      <x:c r="K24" s="7" t="n">
        <x:f>ROUND(ROUND(I24*100,0)/H24,0)/100</x:f>
        <x:v>26.56</x:v>
      </x:c>
      <x:c r="L24" s="7"/>
      <x:c r="M24" s="12"/>
      <x:c r="N24" s="2" t="str">
        <x:v>Desde 11 de agosto de 2025</x:v>
      </x:c>
    </x:row>
    <x:row r="25" ht="24" customHeight="1">
      <x:c r="A25" s="9" t="n">
        <x:v>17</x:v>
      </x:c>
      <x:c r="B25" s="9" t="n">
        <x:v>1</x:v>
      </x:c>
      <x:c r="C25" s="2" t="str">
        <x:v>Pan dulce</x:v>
      </x:c>
      <x:c r="D25" s="2" t="str">
        <x:v>Mantecadas Nuez 6 p 184 g / Vainilla 6 p 188 g</x:v>
      </x:c>
      <x:c r="E25" s="2" t="str">
        <x:v>Bimbo Mantecadas 6 p</x:v>
      </x:c>
      <x:c r="F25" s="2" t="str">
        <x:v>Nuez 184 g</x:v>
      </x:c>
      <x:c r="G25" s="2" t="str">
        <x:v>Presentación de la lista</x:v>
      </x:c>
      <x:c r="H25" s="9" t="n">
        <x:v>1</x:v>
      </x:c>
      <x:c r="I25" s="7" t="n">
        <x:v>26.56</x:v>
      </x:c>
      <x:c r="J25" s="7" t="n">
        <x:v>32</x:v>
      </x:c>
      <x:c r="K25" s="7" t="n">
        <x:f>ROUND(ROUND(I25*100,0)/H25,0)/100</x:f>
        <x:v>26.56</x:v>
      </x:c>
      <x:c r="L25" s="7"/>
      <x:c r="M25" s="12"/>
      <x:c r="N25" s="2" t="str">
        <x:v>Desde 11 de agosto de 2025</x:v>
      </x:c>
    </x:row>
    <x:row r="26" ht="24" customHeight="1">
      <x:c r="A26" s="9" t="n">
        <x:v>17</x:v>
      </x:c>
      <x:c r="B26" s="9" t="n">
        <x:v>1</x:v>
      </x:c>
      <x:c r="C26" s="2" t="str">
        <x:v>Pan dulce</x:v>
      </x:c>
      <x:c r="D26" s="2" t="str">
        <x:v>Mantecadas Nuez 6 p 184 g / Vainilla 6 p 188 g</x:v>
      </x:c>
      <x:c r="E26" s="2" t="str">
        <x:v>Bimbo Mantecadas 6 p</x:v>
      </x:c>
      <x:c r="F26" s="2" t="str">
        <x:v>Vainilla 188 g</x:v>
      </x:c>
      <x:c r="G26" s="2" t="str">
        <x:v>Presentación de la lista</x:v>
      </x:c>
      <x:c r="H26" s="9" t="n">
        <x:v>1</x:v>
      </x:c>
      <x:c r="I26" s="7" t="n">
        <x:v>26.56</x:v>
      </x:c>
      <x:c r="J26" s="7" t="n">
        <x:v>32</x:v>
      </x:c>
      <x:c r="K26" s="7" t="n">
        <x:f>ROUND(ROUND(I26*100,0)/H26,0)/100</x:f>
        <x:v>26.56</x:v>
      </x:c>
      <x:c r="L26" s="7"/>
      <x:c r="M26" s="12"/>
      <x:c r="N26" s="2" t="str">
        <x:v>Desde 11 de agosto de 2025</x:v>
      </x:c>
    </x:row>
    <x:row r="27" ht="24" customHeight="1">
      <x:c r="A27" s="9" t="n">
        <x:v>18</x:v>
      </x:c>
      <x:c r="B27" s="9" t="n">
        <x:v>1</x:v>
      </x:c>
      <x:c r="C27" s="2" t="str">
        <x:v>Pan dulce</x:v>
      </x:c>
      <x:c r="D27" s="2" t="str">
        <x:v>Mantechox Hershey's 2 p 80 g</x:v>
      </x:c>
      <x:c r="E27" s="2" t="str">
        <x:v>Bimbo Mantechox Hershey's 2 p 80 g</x:v>
      </x:c>
      <x:c r="F27" s="2"/>
      <x:c r="G27" s="2" t="str">
        <x:v>Presentación de la lista</x:v>
      </x:c>
      <x:c r="H27" s="9" t="n">
        <x:v>1</x:v>
      </x:c>
      <x:c r="I27" s="7" t="n">
        <x:v>12.45</x:v>
      </x:c>
      <x:c r="J27" s="7" t="n">
        <x:v>15</x:v>
      </x:c>
      <x:c r="K27" s="7" t="n">
        <x:f>ROUND(ROUND(I27*100,0)/H27,0)/100</x:f>
        <x:v>12.45</x:v>
      </x:c>
      <x:c r="L27" s="7"/>
      <x:c r="M27" s="12"/>
      <x:c r="N27" s="2" t="str">
        <x:v>Desde 11 de agosto de 2025</x:v>
      </x:c>
    </x:row>
    <x:row r="28" ht="24" customHeight="1">
      <x:c r="A28" s="9" t="n">
        <x:v>19</x:v>
      </x:c>
      <x:c r="B28" s="9" t="n">
        <x:v>1</x:v>
      </x:c>
      <x:c r="C28" s="2" t="str">
        <x:v>Pan dulce</x:v>
      </x:c>
      <x:c r="D28" s="2" t="str">
        <x:v>Nito 1 p 62 g</x:v>
      </x:c>
      <x:c r="E28" s="2" t="str">
        <x:v>Bimbo Nito 1 p 62 g</x:v>
      </x:c>
      <x:c r="F28" s="2"/>
      <x:c r="G28" s="2" t="str">
        <x:v>Presentación de la lista</x:v>
      </x:c>
      <x:c r="H28" s="9" t="n">
        <x:v>1</x:v>
      </x:c>
      <x:c r="I28" s="7" t="n">
        <x:v>14.11</x:v>
      </x:c>
      <x:c r="J28" s="7" t="n">
        <x:v>17</x:v>
      </x:c>
      <x:c r="K28" s="7" t="n">
        <x:f>ROUND(ROUND(I28*100,0)/H28,0)/100</x:f>
        <x:v>14.11</x:v>
      </x:c>
      <x:c r="L28" s="7"/>
      <x:c r="M28" s="12"/>
      <x:c r="N28" s="2" t="str">
        <x:v>Desde 11 de agosto de 2025</x:v>
      </x:c>
    </x:row>
    <x:row r="29" ht="24" customHeight="1">
      <x:c r="A29" s="9" t="n">
        <x:v>20</x:v>
      </x:c>
      <x:c r="B29" s="9" t="n">
        <x:v>1</x:v>
      </x:c>
      <x:c r="C29" s="2" t="str">
        <x:v>Pan dulce</x:v>
      </x:c>
      <x:c r="D29" s="2" t="str">
        <x:v>Panqué Mármol, Pasas y Nuez 280 g</x:v>
      </x:c>
      <x:c r="E29" s="2" t="str">
        <x:v>Bimbo Panqué 280 g</x:v>
      </x:c>
      <x:c r="F29" s="2" t="str">
        <x:v>Mármol</x:v>
      </x:c>
      <x:c r="G29" s="2" t="str">
        <x:v>Presentación de la lista</x:v>
      </x:c>
      <x:c r="H29" s="9" t="n">
        <x:v>1</x:v>
      </x:c>
      <x:c r="I29" s="7" t="n">
        <x:v>34.86</x:v>
      </x:c>
      <x:c r="J29" s="7" t="n">
        <x:v>42</x:v>
      </x:c>
      <x:c r="K29" s="7" t="n">
        <x:f>ROUND(ROUND(I29*100,0)/H29,0)/100</x:f>
        <x:v>34.86</x:v>
      </x:c>
      <x:c r="L29" s="7"/>
      <x:c r="M29" s="12"/>
      <x:c r="N29" s="2" t="str">
        <x:v>Desde 11 de agosto de 2025</x:v>
      </x:c>
    </x:row>
    <x:row r="30" ht="24" customHeight="1">
      <x:c r="A30" s="9" t="n">
        <x:v>20</x:v>
      </x:c>
      <x:c r="B30" s="9" t="n">
        <x:v>1</x:v>
      </x:c>
      <x:c r="C30" s="2" t="str">
        <x:v>Pan dulce</x:v>
      </x:c>
      <x:c r="D30" s="2" t="str">
        <x:v>Panqué Mármol, Pasas y Nuez 280 g</x:v>
      </x:c>
      <x:c r="E30" s="2" t="str">
        <x:v>Bimbo Panqué 280 g</x:v>
      </x:c>
      <x:c r="F30" s="2" t="str">
        <x:v>Pasas</x:v>
      </x:c>
      <x:c r="G30" s="2" t="str">
        <x:v>Presentación de la lista</x:v>
      </x:c>
      <x:c r="H30" s="9" t="n">
        <x:v>1</x:v>
      </x:c>
      <x:c r="I30" s="7" t="n">
        <x:v>34.86</x:v>
      </x:c>
      <x:c r="J30" s="7" t="n">
        <x:v>42</x:v>
      </x:c>
      <x:c r="K30" s="7" t="n">
        <x:f>ROUND(ROUND(I30*100,0)/H30,0)/100</x:f>
        <x:v>34.86</x:v>
      </x:c>
      <x:c r="L30" s="7"/>
      <x:c r="M30" s="12"/>
      <x:c r="N30" s="2" t="str">
        <x:v>Desde 11 de agosto de 2025</x:v>
      </x:c>
    </x:row>
    <x:row r="31" ht="24" customHeight="1">
      <x:c r="A31" s="9" t="n">
        <x:v>20</x:v>
      </x:c>
      <x:c r="B31" s="9" t="n">
        <x:v>1</x:v>
      </x:c>
      <x:c r="C31" s="2" t="str">
        <x:v>Pan dulce</x:v>
      </x:c>
      <x:c r="D31" s="2" t="str">
        <x:v>Panqué Mármol, Pasas y Nuez 280 g</x:v>
      </x:c>
      <x:c r="E31" s="2" t="str">
        <x:v>Bimbo Panqué 280 g</x:v>
      </x:c>
      <x:c r="F31" s="2" t="str">
        <x:v>Nuez</x:v>
      </x:c>
      <x:c r="G31" s="2" t="str">
        <x:v>Presentación de la lista</x:v>
      </x:c>
      <x:c r="H31" s="9" t="n">
        <x:v>1</x:v>
      </x:c>
      <x:c r="I31" s="7" t="n">
        <x:v>34.86</x:v>
      </x:c>
      <x:c r="J31" s="7" t="n">
        <x:v>42</x:v>
      </x:c>
      <x:c r="K31" s="7" t="n">
        <x:f>ROUND(ROUND(I31*100,0)/H31,0)/100</x:f>
        <x:v>34.86</x:v>
      </x:c>
      <x:c r="L31" s="7"/>
      <x:c r="M31" s="12"/>
      <x:c r="N31" s="2" t="str">
        <x:v>Desde 11 de agosto de 2025</x:v>
      </x:c>
    </x:row>
    <x:row r="32" ht="24" customHeight="1">
      <x:c r="A32" s="9" t="n">
        <x:v>21</x:v>
      </x:c>
      <x:c r="B32" s="9" t="n">
        <x:v>1</x:v>
      </x:c>
      <x:c r="C32" s="2" t="str">
        <x:v>Pan dulce</x:v>
      </x:c>
      <x:c r="D32" s="2" t="str">
        <x:v>Panquecitos Gota de Chocolate 2 p 140 g</x:v>
      </x:c>
      <x:c r="E32" s="2" t="str">
        <x:v>Bimbo Panquecitos Gota de Chocolate 2 p 140 g</x:v>
      </x:c>
      <x:c r="F32" s="2"/>
      <x:c r="G32" s="2" t="str">
        <x:v>Presentación de la lista</x:v>
      </x:c>
      <x:c r="H32" s="9" t="n">
        <x:v>1</x:v>
      </x:c>
      <x:c r="I32" s="7" t="n">
        <x:v>18.26</x:v>
      </x:c>
      <x:c r="J32" s="7" t="n">
        <x:v>22</x:v>
      </x:c>
      <x:c r="K32" s="7" t="n">
        <x:f>ROUND(ROUND(I32*100,0)/H32,0)/100</x:f>
        <x:v>18.26</x:v>
      </x:c>
      <x:c r="L32" s="7"/>
      <x:c r="M32" s="12"/>
      <x:c r="N32" s="2" t="str">
        <x:v>Desde 11 de agosto de 2025</x:v>
      </x:c>
    </x:row>
    <x:row r="33" ht="24" customHeight="1">
      <x:c r="A33" s="9" t="n">
        <x:v>22</x:v>
      </x:c>
      <x:c r="B33" s="9" t="n">
        <x:v>1</x:v>
      </x:c>
      <x:c r="C33" s="2" t="str">
        <x:v>Pan dulce</x:v>
      </x:c>
      <x:c r="D33" s="2" t="str">
        <x:v>Rebanadas 55 g</x:v>
      </x:c>
      <x:c r="E33" s="2" t="str">
        <x:v>Bimbo Rebanadas 55 g</x:v>
      </x:c>
      <x:c r="F33" s="2"/>
      <x:c r="G33" s="2" t="str">
        <x:v>Presentación de la lista</x:v>
      </x:c>
      <x:c r="H33" s="9" t="n">
        <x:v>1</x:v>
      </x:c>
      <x:c r="I33" s="7" t="n">
        <x:v>8.3</x:v>
      </x:c>
      <x:c r="J33" s="7" t="n">
        <x:v>10</x:v>
      </x:c>
      <x:c r="K33" s="7" t="n">
        <x:f>ROUND(ROUND(I33*100,0)/H33,0)/100</x:f>
        <x:v>8.3</x:v>
      </x:c>
      <x:c r="L33" s="7"/>
      <x:c r="M33" s="12"/>
      <x:c r="N33" s="2" t="str">
        <x:v>Desde 11 de agosto de 2025</x:v>
      </x:c>
    </x:row>
    <x:row r="34" ht="24" customHeight="1">
      <x:c r="A34" s="9" t="n">
        <x:v>23</x:v>
      </x:c>
      <x:c r="B34" s="9" t="n">
        <x:v>1</x:v>
      </x:c>
      <x:c r="C34" s="2" t="str">
        <x:v>Pan dulce</x:v>
      </x:c>
      <x:c r="D34" s="2" t="str">
        <x:v>Roles Canela 3 p 180 g</x:v>
      </x:c>
      <x:c r="E34" s="2" t="str">
        <x:v>Bimbo Roles Canela 3 p 180 g</x:v>
      </x:c>
      <x:c r="F34" s="2"/>
      <x:c r="G34" s="2" t="str">
        <x:v>Presentación de la lista</x:v>
      </x:c>
      <x:c r="H34" s="9" t="n">
        <x:v>1</x:v>
      </x:c>
      <x:c r="I34" s="7" t="n">
        <x:v>20.75</x:v>
      </x:c>
      <x:c r="J34" s="7" t="n">
        <x:v>25</x:v>
      </x:c>
      <x:c r="K34" s="7" t="n">
        <x:f>ROUND(ROUND(I34*100,0)/H34,0)/100</x:f>
        <x:v>20.75</x:v>
      </x:c>
      <x:c r="L34" s="7"/>
      <x:c r="M34" s="12"/>
      <x:c r="N34" s="2" t="str">
        <x:v>Desde 11 de agosto de 2025</x:v>
      </x:c>
    </x:row>
    <x:row r="35" ht="24" customHeight="1">
      <x:c r="A35" s="9" t="n">
        <x:v>24</x:v>
      </x:c>
      <x:c r="B35" s="9" t="n">
        <x:v>1</x:v>
      </x:c>
      <x:c r="C35" s="2" t="str">
        <x:v>Pan dulce</x:v>
      </x:c>
      <x:c r="D35" s="2" t="str">
        <x:v>Roles Glass 3 p 205 g</x:v>
      </x:c>
      <x:c r="E35" s="2" t="str">
        <x:v>Bimbo Roles Glass 3 p 205 g</x:v>
      </x:c>
      <x:c r="F35" s="2"/>
      <x:c r="G35" s="2" t="str">
        <x:v>Presentación de la lista</x:v>
      </x:c>
      <x:c r="H35" s="9" t="n">
        <x:v>1</x:v>
      </x:c>
      <x:c r="I35" s="7" t="n">
        <x:v>20.75</x:v>
      </x:c>
      <x:c r="J35" s="7" t="n">
        <x:v>25</x:v>
      </x:c>
      <x:c r="K35" s="7" t="n">
        <x:f>ROUND(ROUND(I35*100,0)/H35,0)/100</x:f>
        <x:v>20.75</x:v>
      </x:c>
      <x:c r="L35" s="7"/>
      <x:c r="M35" s="12"/>
      <x:c r="N35" s="2" t="str">
        <x:v>Desde 11 de agosto de 2025</x:v>
      </x:c>
    </x:row>
    <x:row r="36" ht="24" customHeight="1">
      <x:c r="A36" s="9" t="n">
        <x:v>25</x:v>
      </x:c>
      <x:c r="B36" s="9" t="n">
        <x:v>1</x:v>
      </x:c>
      <x:c r="C36" s="2" t="str">
        <x:v>Pan dulce</x:v>
      </x:c>
      <x:c r="D36" s="2" t="str">
        <x:v>Roles Canela 6 p 365 g</x:v>
      </x:c>
      <x:c r="E36" s="2" t="str">
        <x:v>Bimbo Roles Canela 6 p 365 g</x:v>
      </x:c>
      <x:c r="F36" s="2"/>
      <x:c r="G36" s="2" t="str">
        <x:v>Presentación de la lista</x:v>
      </x:c>
      <x:c r="H36" s="9" t="n">
        <x:v>1</x:v>
      </x:c>
      <x:c r="I36" s="7" t="n">
        <x:v>34.86</x:v>
      </x:c>
      <x:c r="J36" s="7" t="n">
        <x:v>42</x:v>
      </x:c>
      <x:c r="K36" s="7" t="n">
        <x:f>ROUND(ROUND(I36*100,0)/H36,0)/100</x:f>
        <x:v>34.86</x:v>
      </x:c>
      <x:c r="L36" s="7"/>
      <x:c r="M36" s="12"/>
      <x:c r="N36" s="2" t="str">
        <x:v>Desde 11 de agosto de 2025</x:v>
      </x:c>
    </x:row>
    <x:row r="37" ht="24" customHeight="1">
      <x:c r="A37" s="9" t="n">
        <x:v>26</x:v>
      </x:c>
      <x:c r="B37" s="9" t="n">
        <x:v>1</x:v>
      </x:c>
      <x:c r="C37" s="2" t="str">
        <x:v>Bimbo panes y bollería</x:v>
      </x:c>
      <x:c r="D37" s="2" t="str">
        <x:v>Bimbollos 8 p 450 g</x:v>
      </x:c>
      <x:c r="E37" s="2" t="str">
        <x:v>Bimbo Bimbollos 8 p 450 g</x:v>
      </x:c>
      <x:c r="F37" s="2"/>
      <x:c r="G37" s="2" t="str">
        <x:v>Presentación de la lista</x:v>
      </x:c>
      <x:c r="H37" s="9" t="n">
        <x:v>1</x:v>
      </x:c>
      <x:c r="I37" s="7" t="n">
        <x:v>43.16</x:v>
      </x:c>
      <x:c r="J37" s="7" t="n">
        <x:v>52</x:v>
      </x:c>
      <x:c r="K37" s="7" t="n">
        <x:f>ROUND(ROUND(I37*100,0)/H37,0)/100</x:f>
        <x:v>43.16</x:v>
      </x:c>
      <x:c r="L37" s="7"/>
      <x:c r="M37" s="12"/>
      <x:c r="N37" s="2" t="str">
        <x:v>Desde 11 de agosto de 2025</x:v>
      </x:c>
    </x:row>
    <x:row r="38" ht="24" customHeight="1">
      <x:c r="A38" s="9" t="n">
        <x:v>27</x:v>
      </x:c>
      <x:c r="B38" s="9" t="n">
        <x:v>1</x:v>
      </x:c>
      <x:c r="C38" s="2" t="str">
        <x:v>Bimbo panes y bollería</x:v>
      </x:c>
      <x:c r="D38" s="2" t="str">
        <x:v>Bimbollos Brioche 6 p 465 g</x:v>
      </x:c>
      <x:c r="E38" s="2" t="str">
        <x:v>Bimbo Bimbollos Brioche 6 p 465 g</x:v>
      </x:c>
      <x:c r="F38" s="2"/>
      <x:c r="G38" s="2" t="str">
        <x:v>Presentación de la lista</x:v>
      </x:c>
      <x:c r="H38" s="9" t="n">
        <x:v>1</x:v>
      </x:c>
      <x:c r="I38" s="7" t="n">
        <x:v>53.12</x:v>
      </x:c>
      <x:c r="J38" s="7" t="n">
        <x:v>64</x:v>
      </x:c>
      <x:c r="K38" s="7" t="n">
        <x:f>ROUND(ROUND(I38*100,0)/H38,0)/100</x:f>
        <x:v>53.12</x:v>
      </x:c>
      <x:c r="L38" s="7"/>
      <x:c r="M38" s="12"/>
      <x:c r="N38" s="2" t="str">
        <x:v>Desde 11 de agosto de 2025</x:v>
      </x:c>
    </x:row>
    <x:row r="39" ht="24" customHeight="1">
      <x:c r="A39" s="9" t="n">
        <x:v>28</x:v>
      </x:c>
      <x:c r="B39" s="9" t="n">
        <x:v>1</x:v>
      </x:c>
      <x:c r="C39" s="2" t="str">
        <x:v>Bimbo panes y bollería</x:v>
      </x:c>
      <x:c r="D39" s="2" t="str">
        <x:v>Bimbollos Súper 6 p 480 g</x:v>
      </x:c>
      <x:c r="E39" s="2" t="str">
        <x:v>Bimbo Bimbollos Súper 6 p 480 g</x:v>
      </x:c>
      <x:c r="F39" s="2"/>
      <x:c r="G39" s="2" t="str">
        <x:v>Presentación de la lista</x:v>
      </x:c>
      <x:c r="H39" s="9" t="n">
        <x:v>1</x:v>
      </x:c>
      <x:c r="I39" s="7" t="n">
        <x:v>44.82</x:v>
      </x:c>
      <x:c r="J39" s="7" t="n">
        <x:v>54</x:v>
      </x:c>
      <x:c r="K39" s="7" t="n">
        <x:f>ROUND(ROUND(I39*100,0)/H39,0)/100</x:f>
        <x:v>44.82</x:v>
      </x:c>
      <x:c r="L39" s="7"/>
      <x:c r="M39" s="12"/>
      <x:c r="N39" s="2" t="str">
        <x:v>Desde 11 de agosto de 2025</x:v>
      </x:c>
    </x:row>
    <x:row r="40" ht="24" customHeight="1">
      <x:c r="A40" s="9" t="n">
        <x:v>29</x:v>
      </x:c>
      <x:c r="B40" s="9" t="n">
        <x:v>1</x:v>
      </x:c>
      <x:c r="C40" s="2" t="str">
        <x:v>Bimbo panes y bollería</x:v>
      </x:c>
      <x:c r="D40" s="2" t="str">
        <x:v>Bimbollos Parrilleros 6 p 516 g</x:v>
      </x:c>
      <x:c r="E40" s="2" t="str">
        <x:v>Bimbo Bimbollos Parrilleros 6 p 516 g</x:v>
      </x:c>
      <x:c r="F40" s="2"/>
      <x:c r="G40" s="2" t="str">
        <x:v>Presentación de la lista</x:v>
      </x:c>
      <x:c r="H40" s="9" t="n">
        <x:v>1</x:v>
      </x:c>
      <x:c r="I40" s="7" t="n">
        <x:v>46.48</x:v>
      </x:c>
      <x:c r="J40" s="7" t="n">
        <x:v>56</x:v>
      </x:c>
      <x:c r="K40" s="7" t="n">
        <x:f>ROUND(ROUND(I40*100,0)/H40,0)/100</x:f>
        <x:v>46.48</x:v>
      </x:c>
      <x:c r="L40" s="7"/>
      <x:c r="M40" s="12"/>
      <x:c r="N40" s="2" t="str">
        <x:v>Desde 11 de agosto de 2025</x:v>
      </x:c>
    </x:row>
    <x:row r="41" ht="24" customHeight="1">
      <x:c r="A41" s="9" t="n">
        <x:v>30</x:v>
      </x:c>
      <x:c r="B41" s="9" t="n">
        <x:v>1</x:v>
      </x:c>
      <x:c r="C41" s="2" t="str">
        <x:v>Bimbo panes y bollería</x:v>
      </x:c>
      <x:c r="D41" s="2" t="str">
        <x:v>Bollos Súper 12 p 960 g</x:v>
      </x:c>
      <x:c r="E41" s="2" t="str">
        <x:v>Bimbo Bollos Súper 12 p 960 g</x:v>
      </x:c>
      <x:c r="F41" s="2"/>
      <x:c r="G41" s="2" t="str">
        <x:v>Presentación de la lista</x:v>
      </x:c>
      <x:c r="H41" s="9" t="n">
        <x:v>1</x:v>
      </x:c>
      <x:c r="I41" s="7" t="n">
        <x:v>74.7</x:v>
      </x:c>
      <x:c r="J41" s="7" t="n">
        <x:v>90</x:v>
      </x:c>
      <x:c r="K41" s="7" t="n">
        <x:f>ROUND(ROUND(I41*100,0)/H41,0)/100</x:f>
        <x:v>74.7</x:v>
      </x:c>
      <x:c r="L41" s="7"/>
      <x:c r="M41" s="12"/>
      <x:c r="N41" s="2" t="str">
        <x:v>Desde 11 de agosto de 2025</x:v>
      </x:c>
    </x:row>
    <x:row r="42" ht="24" customHeight="1">
      <x:c r="A42" s="9" t="n">
        <x:v>31</x:v>
      </x:c>
      <x:c r="B42" s="9" t="n">
        <x:v>1</x:v>
      </x:c>
      <x:c r="C42" s="2" t="str">
        <x:v>Bimbo panes y bollería</x:v>
      </x:c>
      <x:c r="D42" s="2" t="str">
        <x:v>Medias Noches 8 p 340 g</x:v>
      </x:c>
      <x:c r="E42" s="2" t="str">
        <x:v>Bimbo Medias Noches 8 p 340 g</x:v>
      </x:c>
      <x:c r="F42" s="2"/>
      <x:c r="G42" s="2" t="str">
        <x:v>Presentación de la lista</x:v>
      </x:c>
      <x:c r="H42" s="9" t="n">
        <x:v>1</x:v>
      </x:c>
      <x:c r="I42" s="7" t="n">
        <x:v>38.18</x:v>
      </x:c>
      <x:c r="J42" s="7" t="n">
        <x:v>46</x:v>
      </x:c>
      <x:c r="K42" s="7" t="n">
        <x:f>ROUND(ROUND(I42*100,0)/H42,0)/100</x:f>
        <x:v>38.18</x:v>
      </x:c>
      <x:c r="L42" s="7"/>
      <x:c r="M42" s="12"/>
      <x:c r="N42" s="2" t="str">
        <x:v>Desde 11 de agosto de 2025</x:v>
      </x:c>
    </x:row>
    <x:row r="43" ht="24" customHeight="1">
      <x:c r="A43" s="9" t="n">
        <x:v>32</x:v>
      </x:c>
      <x:c r="B43" s="9" t="n">
        <x:v>1</x:v>
      </x:c>
      <x:c r="C43" s="2" t="str">
        <x:v>Bimbo panes y bollería</x:v>
      </x:c>
      <x:c r="D43" s="2" t="str">
        <x:v>Pan Artesano 567 g</x:v>
      </x:c>
      <x:c r="E43" s="2" t="str">
        <x:v>Bimbo Pan Artesano 567 g</x:v>
      </x:c>
      <x:c r="F43" s="2"/>
      <x:c r="G43" s="2" t="str">
        <x:v>Presentación de la lista</x:v>
      </x:c>
      <x:c r="H43" s="9" t="n">
        <x:v>1</x:v>
      </x:c>
      <x:c r="I43" s="7" t="n">
        <x:v>43.16</x:v>
      </x:c>
      <x:c r="J43" s="7" t="n">
        <x:v>52</x:v>
      </x:c>
      <x:c r="K43" s="7" t="n">
        <x:f>ROUND(ROUND(I43*100,0)/H43,0)/100</x:f>
        <x:v>43.16</x:v>
      </x:c>
      <x:c r="L43" s="7"/>
      <x:c r="M43" s="12"/>
      <x:c r="N43" s="2" t="str">
        <x:v>Desde 11 de agosto de 2025</x:v>
      </x:c>
    </x:row>
    <x:row r="44" ht="24" customHeight="1">
      <x:c r="A44" s="9" t="n">
        <x:v>33</x:v>
      </x:c>
      <x:c r="B44" s="9" t="n">
        <x:v>1</x:v>
      </x:c>
      <x:c r="C44" s="2" t="str">
        <x:v>Bimbo panes y bollería</x:v>
      </x:c>
      <x:c r="D44" s="2" t="str">
        <x:v>Pan Blanco 300 g (Barrilito)</x:v>
      </x:c>
      <x:c r="E44" s="2" t="str">
        <x:v>Bimbo Pan Blanco 300 g (Barrilito)</x:v>
      </x:c>
      <x:c r="F44" s="2"/>
      <x:c r="G44" s="2" t="str">
        <x:v>Presentación de la lista</x:v>
      </x:c>
      <x:c r="H44" s="9" t="n">
        <x:v>1</x:v>
      </x:c>
      <x:c r="I44" s="7" t="n">
        <x:v>20.75</x:v>
      </x:c>
      <x:c r="J44" s="7" t="n">
        <x:v>25</x:v>
      </x:c>
      <x:c r="K44" s="7" t="n">
        <x:f>ROUND(ROUND(I44*100,0)/H44,0)/100</x:f>
        <x:v>20.75</x:v>
      </x:c>
      <x:c r="L44" s="7"/>
      <x:c r="M44" s="12"/>
      <x:c r="N44" s="2" t="str">
        <x:v>Desde 11 de agosto de 2025</x:v>
      </x:c>
    </x:row>
    <x:row r="45" ht="24" customHeight="1">
      <x:c r="A45" s="9" t="n">
        <x:v>34</x:v>
      </x:c>
      <x:c r="B45" s="9" t="n">
        <x:v>1</x:v>
      </x:c>
      <x:c r="C45" s="2" t="str">
        <x:v>Bimbo panes y bollería</x:v>
      </x:c>
      <x:c r="D45" s="2" t="str">
        <x:v>Pan Blanco Grande 620 g</x:v>
      </x:c>
      <x:c r="E45" s="2" t="str">
        <x:v>Bimbo Pan Blanco Grande 620 g</x:v>
      </x:c>
      <x:c r="F45" s="2"/>
      <x:c r="G45" s="2" t="str">
        <x:v>Presentación de la lista</x:v>
      </x:c>
      <x:c r="H45" s="9" t="n">
        <x:v>1</x:v>
      </x:c>
      <x:c r="I45" s="7" t="n">
        <x:v>40.67</x:v>
      </x:c>
      <x:c r="J45" s="7" t="n">
        <x:v>49</x:v>
      </x:c>
      <x:c r="K45" s="7" t="n">
        <x:f>ROUND(ROUND(I45*100,0)/H45,0)/100</x:f>
        <x:v>40.67</x:v>
      </x:c>
      <x:c r="L45" s="7"/>
      <x:c r="M45" s="12"/>
      <x:c r="N45" s="2" t="str">
        <x:v>Desde 11 de agosto de 2025</x:v>
      </x:c>
    </x:row>
    <x:row r="46" ht="24" customHeight="1">
      <x:c r="A46" s="9" t="n">
        <x:v>35</x:v>
      </x:c>
      <x:c r="B46" s="9" t="n">
        <x:v>1</x:v>
      </x:c>
      <x:c r="C46" s="2" t="str">
        <x:v>Bimbo panes y bollería</x:v>
      </x:c>
      <x:c r="D46" s="2" t="str">
        <x:v>Pan Cero Cero 610 g</x:v>
      </x:c>
      <x:c r="E46" s="2" t="str">
        <x:v>Bimbo Pan Cero Cero 610 g</x:v>
      </x:c>
      <x:c r="F46" s="2"/>
      <x:c r="G46" s="2" t="str">
        <x:v>Presentación de la lista</x:v>
      </x:c>
      <x:c r="H46" s="9" t="n">
        <x:v>1</x:v>
      </x:c>
      <x:c r="I46" s="7" t="n">
        <x:v>53.12</x:v>
      </x:c>
      <x:c r="J46" s="7" t="n">
        <x:v>64</x:v>
      </x:c>
      <x:c r="K46" s="7" t="n">
        <x:f>ROUND(ROUND(I46*100,0)/H46,0)/100</x:f>
        <x:v>53.12</x:v>
      </x:c>
      <x:c r="L46" s="7"/>
      <x:c r="M46" s="12"/>
      <x:c r="N46" s="2" t="str">
        <x:v>Desde 11 de agosto de 2025</x:v>
      </x:c>
    </x:row>
    <x:row r="47" ht="24" customHeight="1">
      <x:c r="A47" s="9" t="n">
        <x:v>36</x:v>
      </x:c>
      <x:c r="B47" s="9" t="n">
        <x:v>1</x:v>
      </x:c>
      <x:c r="C47" s="2" t="str">
        <x:v>Bimbo panes y bollería</x:v>
      </x:c>
      <x:c r="D47" s="2" t="str">
        <x:v>Pan Integral 300 g (Barrilito)</x:v>
      </x:c>
      <x:c r="E47" s="2" t="str">
        <x:v>Bimbo Pan Integral 300 g (Barrilito)</x:v>
      </x:c>
      <x:c r="F47" s="2"/>
      <x:c r="G47" s="2" t="str">
        <x:v>Presentación de la lista</x:v>
      </x:c>
      <x:c r="H47" s="9" t="n">
        <x:v>1</x:v>
      </x:c>
      <x:c r="I47" s="7" t="n">
        <x:v>23.24</x:v>
      </x:c>
      <x:c r="J47" s="7" t="n">
        <x:v>28</x:v>
      </x:c>
      <x:c r="K47" s="7" t="n">
        <x:f>ROUND(ROUND(I47*100,0)/H47,0)/100</x:f>
        <x:v>23.24</x:v>
      </x:c>
      <x:c r="L47" s="7"/>
      <x:c r="M47" s="12"/>
      <x:c r="N47" s="2" t="str">
        <x:v>Desde 11 de agosto de 2025</x:v>
      </x:c>
    </x:row>
    <x:row r="48" ht="24" customHeight="1">
      <x:c r="A48" s="9" t="n">
        <x:v>37</x:v>
      </x:c>
      <x:c r="B48" s="9" t="n">
        <x:v>1</x:v>
      </x:c>
      <x:c r="C48" s="2" t="str">
        <x:v>Bimbo panes y bollería</x:v>
      </x:c>
      <x:c r="D48" s="2" t="str">
        <x:v>Pan Integral Grande 620 g</x:v>
      </x:c>
      <x:c r="E48" s="2" t="str">
        <x:v>Bimbo Pan Integral Grande 620 g</x:v>
      </x:c>
      <x:c r="F48" s="2"/>
      <x:c r="G48" s="2" t="str">
        <x:v>Presentación de la lista</x:v>
      </x:c>
      <x:c r="H48" s="9" t="n">
        <x:v>1</x:v>
      </x:c>
      <x:c r="I48" s="7" t="n">
        <x:v>43.16</x:v>
      </x:c>
      <x:c r="J48" s="7" t="n">
        <x:v>52</x:v>
      </x:c>
      <x:c r="K48" s="7" t="n">
        <x:f>ROUND(ROUND(I48*100,0)/H48,0)/100</x:f>
        <x:v>43.16</x:v>
      </x:c>
      <x:c r="L48" s="7"/>
      <x:c r="M48" s="12"/>
      <x:c r="N48" s="2" t="str">
        <x:v>Desde 11 de agosto de 2025</x:v>
      </x:c>
    </x:row>
    <x:row r="49" ht="24" customHeight="1">
      <x:c r="A49" s="9" t="n">
        <x:v>38</x:v>
      </x:c>
      <x:c r="B49" s="9" t="n">
        <x:v>1</x:v>
      </x:c>
      <x:c r="C49" s="2" t="str">
        <x:v>Bimbo panes y bollería</x:v>
      </x:c>
      <x:c r="D49" s="2" t="str">
        <x:v>Pan Linaza 610 g</x:v>
      </x:c>
      <x:c r="E49" s="2" t="str">
        <x:v>Bimbo Pan Linaza 610 g</x:v>
      </x:c>
      <x:c r="F49" s="2"/>
      <x:c r="G49" s="2" t="str">
        <x:v>Presentación de la lista</x:v>
      </x:c>
      <x:c r="H49" s="9" t="n">
        <x:v>1</x:v>
      </x:c>
      <x:c r="I49" s="7" t="n">
        <x:v>51.46</x:v>
      </x:c>
      <x:c r="J49" s="7" t="n">
        <x:v>62</x:v>
      </x:c>
      <x:c r="K49" s="7" t="n">
        <x:f>ROUND(ROUND(I49*100,0)/H49,0)/100</x:f>
        <x:v>51.46</x:v>
      </x:c>
      <x:c r="L49" s="7"/>
      <x:c r="M49" s="12"/>
      <x:c r="N49" s="2" t="str">
        <x:v>Desde 11 de agosto de 2025</x:v>
      </x:c>
    </x:row>
    <x:row r="50" ht="24" customHeight="1">
      <x:c r="A50" s="9" t="n">
        <x:v>39</x:v>
      </x:c>
      <x:c r="B50" s="9" t="n">
        <x:v>1</x:v>
      </x:c>
      <x:c r="C50" s="2" t="str">
        <x:v>Bimbo panes y bollería</x:v>
      </x:c>
      <x:c r="D50" s="2" t="str">
        <x:v>Pan Multigrano Cero Cero 610 g</x:v>
      </x:c>
      <x:c r="E50" s="2" t="str">
        <x:v>Bimbo Pan Multigrano Cero Cero 610 g</x:v>
      </x:c>
      <x:c r="F50" s="2"/>
      <x:c r="G50" s="2" t="str">
        <x:v>Presentación de la lista</x:v>
      </x:c>
      <x:c r="H50" s="9" t="n">
        <x:v>1</x:v>
      </x:c>
      <x:c r="I50" s="7" t="n">
        <x:v>53.12</x:v>
      </x:c>
      <x:c r="J50" s="7" t="n">
        <x:v>64</x:v>
      </x:c>
      <x:c r="K50" s="7" t="n">
        <x:f>ROUND(ROUND(I50*100,0)/H50,0)/100</x:f>
        <x:v>53.12</x:v>
      </x:c>
      <x:c r="L50" s="7"/>
      <x:c r="M50" s="12"/>
      <x:c r="N50" s="2" t="str">
        <x:v>Desde 11 de agosto de 2025</x:v>
      </x:c>
    </x:row>
    <x:row r="51" ht="24" customHeight="1">
      <x:c r="A51" s="9" t="n">
        <x:v>40</x:v>
      </x:c>
      <x:c r="B51" s="9" t="n">
        <x:v>1</x:v>
      </x:c>
      <x:c r="C51" s="2" t="str">
        <x:v>Secos y molidos</x:v>
      </x:c>
      <x:c r="D51" s="2" t="str">
        <x:v>Mini Pan Tostado Mantequilla 115 g</x:v>
      </x:c>
      <x:c r="E51" s="2" t="str">
        <x:v>Bimbo Mini Pan Tostado Mantequilla 115 g</x:v>
      </x:c>
      <x:c r="F51" s="2"/>
      <x:c r="G51" s="2" t="str">
        <x:v>Presentación de la lista</x:v>
      </x:c>
      <x:c r="H51" s="9" t="n">
        <x:v>1</x:v>
      </x:c>
      <x:c r="I51" s="7" t="n">
        <x:v>20.75</x:v>
      </x:c>
      <x:c r="J51" s="7" t="n">
        <x:v>25</x:v>
      </x:c>
      <x:c r="K51" s="7" t="n">
        <x:f>ROUND(ROUND(I51*100,0)/H51,0)/100</x:f>
        <x:v>20.75</x:v>
      </x:c>
      <x:c r="L51" s="7"/>
      <x:c r="M51" s="12"/>
      <x:c r="N51" s="2" t="str">
        <x:v>Desde 11 de agosto de 2025</x:v>
      </x:c>
    </x:row>
    <x:row r="52" ht="24" customHeight="1">
      <x:c r="A52" s="9" t="n">
        <x:v>41</x:v>
      </x:c>
      <x:c r="B52" s="9" t="n">
        <x:v>1</x:v>
      </x:c>
      <x:c r="C52" s="2" t="str">
        <x:v>Secos y molidos</x:v>
      </x:c>
      <x:c r="D52" s="2" t="str">
        <x:v>Molido Clásico 210 g</x:v>
      </x:c>
      <x:c r="E52" s="2" t="str">
        <x:v>Bimbo Molido Clásico 210 g</x:v>
      </x:c>
      <x:c r="F52" s="2"/>
      <x:c r="G52" s="2" t="str">
        <x:v>Presentación de la lista</x:v>
      </x:c>
      <x:c r="H52" s="9" t="n">
        <x:v>1</x:v>
      </x:c>
      <x:c r="I52" s="7" t="n">
        <x:v>23.24</x:v>
      </x:c>
      <x:c r="J52" s="7" t="n">
        <x:v>28</x:v>
      </x:c>
      <x:c r="K52" s="7" t="n">
        <x:f>ROUND(ROUND(I52*100,0)/H52,0)/100</x:f>
        <x:v>23.24</x:v>
      </x:c>
      <x:c r="L52" s="7"/>
      <x:c r="M52" s="12"/>
      <x:c r="N52" s="2" t="str">
        <x:v>Desde 11 de agosto de 2025</x:v>
      </x:c>
    </x:row>
    <x:row r="53" ht="24" customHeight="1">
      <x:c r="A53" s="9" t="n">
        <x:v>42</x:v>
      </x:c>
      <x:c r="B53" s="9" t="n">
        <x:v>1</x:v>
      </x:c>
      <x:c r="C53" s="2" t="str">
        <x:v>Secos y molidos</x:v>
      </x:c>
      <x:c r="D53" s="2" t="str">
        <x:v>Molido Clásico 400 g</x:v>
      </x:c>
      <x:c r="E53" s="2" t="str">
        <x:v>Bimbo Molido Clásico 400 g</x:v>
      </x:c>
      <x:c r="F53" s="2"/>
      <x:c r="G53" s="2" t="str">
        <x:v>Presentación de la lista</x:v>
      </x:c>
      <x:c r="H53" s="9" t="n">
        <x:v>1</x:v>
      </x:c>
      <x:c r="I53" s="7" t="n">
        <x:v>33.2</x:v>
      </x:c>
      <x:c r="J53" s="7" t="n">
        <x:v>40</x:v>
      </x:c>
      <x:c r="K53" s="7" t="n">
        <x:f>ROUND(ROUND(I53*100,0)/H53,0)/100</x:f>
        <x:v>33.2</x:v>
      </x:c>
      <x:c r="L53" s="7"/>
      <x:c r="M53" s="12"/>
      <x:c r="N53" s="2" t="str">
        <x:v>Desde 11 de agosto de 2025</x:v>
      </x:c>
    </x:row>
    <x:row r="54" ht="24" customHeight="1">
      <x:c r="A54" s="9" t="n">
        <x:v>43</x:v>
      </x:c>
      <x:c r="B54" s="9" t="n">
        <x:v>1</x:v>
      </x:c>
      <x:c r="C54" s="2" t="str">
        <x:v>Secos y molidos</x:v>
      </x:c>
      <x:c r="D54" s="2" t="str">
        <x:v>Molido Crujiente 175 g</x:v>
      </x:c>
      <x:c r="E54" s="2" t="str">
        <x:v>Bimbo Molido Crujiente 175 g</x:v>
      </x:c>
      <x:c r="F54" s="2"/>
      <x:c r="G54" s="2" t="str">
        <x:v>Presentación de la lista</x:v>
      </x:c>
      <x:c r="H54" s="9" t="n">
        <x:v>1</x:v>
      </x:c>
      <x:c r="I54" s="7" t="n">
        <x:v>23.24</x:v>
      </x:c>
      <x:c r="J54" s="7" t="n">
        <x:v>28</x:v>
      </x:c>
      <x:c r="K54" s="7" t="n">
        <x:f>ROUND(ROUND(I54*100,0)/H54,0)/100</x:f>
        <x:v>23.24</x:v>
      </x:c>
      <x:c r="L54" s="7"/>
      <x:c r="M54" s="12"/>
      <x:c r="N54" s="2" t="str">
        <x:v>Desde 11 de agosto de 2025</x:v>
      </x:c>
    </x:row>
    <x:row r="55" ht="24" customHeight="1">
      <x:c r="A55" s="9" t="n">
        <x:v>44</x:v>
      </x:c>
      <x:c r="B55" s="9" t="n">
        <x:v>1</x:v>
      </x:c>
      <x:c r="C55" s="2" t="str">
        <x:v>Secos y molidos</x:v>
      </x:c>
      <x:c r="D55" s="2" t="str">
        <x:v>Tostado Brioche 14 p 210 g</x:v>
      </x:c>
      <x:c r="E55" s="2" t="str">
        <x:v>Bimbo Tostado Brioche 14 p 210 g</x:v>
      </x:c>
      <x:c r="F55" s="2"/>
      <x:c r="G55" s="2" t="str">
        <x:v>Presentación de la lista</x:v>
      </x:c>
      <x:c r="H55" s="9" t="n">
        <x:v>1</x:v>
      </x:c>
      <x:c r="I55" s="7" t="n">
        <x:v>29.88</x:v>
      </x:c>
      <x:c r="J55" s="7" t="n">
        <x:v>36</x:v>
      </x:c>
      <x:c r="K55" s="7" t="n">
        <x:f>ROUND(ROUND(I55*100,0)/H55,0)/100</x:f>
        <x:v>29.88</x:v>
      </x:c>
      <x:c r="L55" s="7"/>
      <x:c r="M55" s="12"/>
      <x:c r="N55" s="2" t="str">
        <x:v>Desde 11 de agosto de 2025</x:v>
      </x:c>
    </x:row>
    <x:row r="56" ht="24" customHeight="1">
      <x:c r="A56" s="9" t="n">
        <x:v>45</x:v>
      </x:c>
      <x:c r="B56" s="9" t="n">
        <x:v>1</x:v>
      </x:c>
      <x:c r="C56" s="2" t="str">
        <x:v>Secos y molidos</x:v>
      </x:c>
      <x:c r="D56" s="2" t="str">
        <x:v>Tostado Clásico 210 g</x:v>
      </x:c>
      <x:c r="E56" s="2" t="str">
        <x:v>Bimbo Tostado Clásico 210 g</x:v>
      </x:c>
      <x:c r="F56" s="2"/>
      <x:c r="G56" s="2" t="str">
        <x:v>Presentación de la lista</x:v>
      </x:c>
      <x:c r="H56" s="9" t="n">
        <x:v>1</x:v>
      </x:c>
      <x:c r="I56" s="7" t="n">
        <x:v>28.22</x:v>
      </x:c>
      <x:c r="J56" s="7" t="n">
        <x:v>34</x:v>
      </x:c>
      <x:c r="K56" s="7" t="n">
        <x:f>ROUND(ROUND(I56*100,0)/H56,0)/100</x:f>
        <x:v>28.22</x:v>
      </x:c>
      <x:c r="L56" s="7"/>
      <x:c r="M56" s="12"/>
      <x:c r="N56" s="2" t="str">
        <x:v>Desde 11 de agosto de 2025</x:v>
      </x:c>
    </x:row>
    <x:row r="57" ht="24" customHeight="1">
      <x:c r="A57" s="9" t="n">
        <x:v>46</x:v>
      </x:c>
      <x:c r="B57" s="9" t="n">
        <x:v>1</x:v>
      </x:c>
      <x:c r="C57" s="2" t="str">
        <x:v>Secos y molidos</x:v>
      </x:c>
      <x:c r="D57" s="2" t="str">
        <x:v>Tostado Doble Fibra 250 g</x:v>
      </x:c>
      <x:c r="E57" s="2" t="str">
        <x:v>Bimbo Tostado Doble Fibra 250 g</x:v>
      </x:c>
      <x:c r="F57" s="2"/>
      <x:c r="G57" s="2" t="str">
        <x:v>Presentación de la lista</x:v>
      </x:c>
      <x:c r="H57" s="9" t="n">
        <x:v>1</x:v>
      </x:c>
      <x:c r="I57" s="7" t="n">
        <x:v>29.88</x:v>
      </x:c>
      <x:c r="J57" s="7" t="n">
        <x:v>36</x:v>
      </x:c>
      <x:c r="K57" s="7" t="n">
        <x:f>ROUND(ROUND(I57*100,0)/H57,0)/100</x:f>
        <x:v>29.88</x:v>
      </x:c>
      <x:c r="L57" s="7"/>
      <x:c r="M57" s="12"/>
      <x:c r="N57" s="2" t="str">
        <x:v>Desde 11 de agosto de 2025</x:v>
      </x:c>
    </x:row>
    <x:row r="58" ht="24" customHeight="1">
      <x:c r="A58" s="9" t="n">
        <x:v>47</x:v>
      </x:c>
      <x:c r="B58" s="9" t="n">
        <x:v>1</x:v>
      </x:c>
      <x:c r="C58" s="2" t="str">
        <x:v>Secos y molidos</x:v>
      </x:c>
      <x:c r="D58" s="2" t="str">
        <x:v>Tostado Integral 250 g</x:v>
      </x:c>
      <x:c r="E58" s="2" t="str">
        <x:v>Bimbo Tostado Integral 250 g</x:v>
      </x:c>
      <x:c r="F58" s="2"/>
      <x:c r="G58" s="2" t="str">
        <x:v>Presentación de la lista</x:v>
      </x:c>
      <x:c r="H58" s="9" t="n">
        <x:v>1</x:v>
      </x:c>
      <x:c r="I58" s="7" t="n">
        <x:v>29.88</x:v>
      </x:c>
      <x:c r="J58" s="7" t="n">
        <x:v>36</x:v>
      </x:c>
      <x:c r="K58" s="7" t="n">
        <x:f>ROUND(ROUND(I58*100,0)/H58,0)/100</x:f>
        <x:v>29.88</x:v>
      </x:c>
      <x:c r="L58" s="7"/>
      <x:c r="M58" s="12"/>
      <x:c r="N58" s="2" t="str">
        <x:v>Desde 11 de agosto de 2025</x:v>
      </x:c>
    </x:row>
    <x:row r="59" ht="24" customHeight="1">
      <x:c r="A59" s="9" t="n">
        <x:v>48</x:v>
      </x:c>
      <x:c r="B59" s="9" t="n">
        <x:v>1</x:v>
      </x:c>
      <x:c r="C59" s="2" t="str">
        <x:v>Barras</x:v>
      </x:c>
      <x:c r="D59" s="2" t="str">
        <x:v>Bran Frut Fresa / Piña 58 g</x:v>
      </x:c>
      <x:c r="E59" s="2" t="str">
        <x:v>Bimbo Bran Frut 58 g</x:v>
      </x:c>
      <x:c r="F59" s="2" t="str">
        <x:v>Fresa</x:v>
      </x:c>
      <x:c r="G59" s="2" t="str">
        <x:v>Presentación de la lista</x:v>
      </x:c>
      <x:c r="H59" s="9" t="n">
        <x:v>1</x:v>
      </x:c>
      <x:c r="I59" s="7" t="n">
        <x:v>9.96</x:v>
      </x:c>
      <x:c r="J59" s="7" t="n">
        <x:v>12</x:v>
      </x:c>
      <x:c r="K59" s="7" t="n">
        <x:f>ROUND(ROUND(I59*100,0)/H59,0)/100</x:f>
        <x:v>9.96</x:v>
      </x:c>
      <x:c r="L59" s="7"/>
      <x:c r="M59" s="12"/>
      <x:c r="N59" s="2" t="str">
        <x:v>Desde 11 de agosto de 2025</x:v>
      </x:c>
    </x:row>
    <x:row r="60" ht="24" customHeight="1">
      <x:c r="A60" s="9" t="n">
        <x:v>48</x:v>
      </x:c>
      <x:c r="B60" s="9" t="n">
        <x:v>1</x:v>
      </x:c>
      <x:c r="C60" s="2" t="str">
        <x:v>Barras</x:v>
      </x:c>
      <x:c r="D60" s="2" t="str">
        <x:v>Bran Frut Fresa / Piña 58 g</x:v>
      </x:c>
      <x:c r="E60" s="2" t="str">
        <x:v>Bimbo Bran Frut 58 g</x:v>
      </x:c>
      <x:c r="F60" s="2" t="str">
        <x:v>Piña</x:v>
      </x:c>
      <x:c r="G60" s="2" t="str">
        <x:v>Presentación de la lista</x:v>
      </x:c>
      <x:c r="H60" s="9" t="n">
        <x:v>1</x:v>
      </x:c>
      <x:c r="I60" s="7" t="n">
        <x:v>9.96</x:v>
      </x:c>
      <x:c r="J60" s="7" t="n">
        <x:v>12</x:v>
      </x:c>
      <x:c r="K60" s="7" t="n">
        <x:f>ROUND(ROUND(I60*100,0)/H60,0)/100</x:f>
        <x:v>9.96</x:v>
      </x:c>
      <x:c r="L60" s="7"/>
      <x:c r="M60" s="12"/>
      <x:c r="N60" s="2" t="str">
        <x:v>Desde 11 de agosto de 2025</x:v>
      </x:c>
    </x:row>
    <x:row r="61" ht="24" customHeight="1">
      <x:c r="A61" s="9" t="n">
        <x:v>49</x:v>
      </x:c>
      <x:c r="B61" s="9" t="n">
        <x:v>1</x:v>
      </x:c>
      <x:c r="C61" s="2" t="str">
        <x:v>Barras</x:v>
      </x:c>
      <x:c r="D61" s="2" t="str">
        <x:v>Bran Frut Granos Ancestrales 60 g</x:v>
      </x:c>
      <x:c r="E61" s="2" t="str">
        <x:v>Bimbo Bran Frut Granos Ancestrales 60 g</x:v>
      </x:c>
      <x:c r="F61" s="2"/>
      <x:c r="G61" s="2" t="str">
        <x:v>Presentación de la lista</x:v>
      </x:c>
      <x:c r="H61" s="9" t="n">
        <x:v>1</x:v>
      </x:c>
      <x:c r="I61" s="7" t="n">
        <x:v>9.96</x:v>
      </x:c>
      <x:c r="J61" s="7" t="n">
        <x:v>12</x:v>
      </x:c>
      <x:c r="K61" s="7" t="n">
        <x:f>ROUND(ROUND(I61*100,0)/H61,0)/100</x:f>
        <x:v>9.96</x:v>
      </x:c>
      <x:c r="L61" s="7"/>
      <x:c r="M61" s="12"/>
      <x:c r="N61" s="2" t="str">
        <x:v>Desde 11 de agosto de 2025</x:v>
      </x:c>
    </x:row>
    <x:row r="62" ht="24" customHeight="1">
      <x:c r="A62" s="9" t="n">
        <x:v>50</x:v>
      </x:c>
      <x:c r="B62" s="9" t="n">
        <x:v>1</x:v>
      </x:c>
      <x:c r="C62" s="2" t="str">
        <x:v>Barras</x:v>
      </x:c>
      <x:c r="D62" s="2" t="str">
        <x:v>Bran Frut Cheesecake 58 g</x:v>
      </x:c>
      <x:c r="E62" s="2" t="str">
        <x:v>Bimbo Bran Frut Cheesecake 58 g</x:v>
      </x:c>
      <x:c r="F62" s="2"/>
      <x:c r="G62" s="2" t="str">
        <x:v>Presentación de la lista</x:v>
      </x:c>
      <x:c r="H62" s="9" t="n">
        <x:v>1</x:v>
      </x:c>
      <x:c r="I62" s="7" t="n">
        <x:v>9.96</x:v>
      </x:c>
      <x:c r="J62" s="7" t="n">
        <x:v>12</x:v>
      </x:c>
      <x:c r="K62" s="7" t="n">
        <x:f>ROUND(ROUND(I62*100,0)/H62,0)/100</x:f>
        <x:v>9.96</x:v>
      </x:c>
      <x:c r="L62" s="7"/>
      <x:c r="M62" s="12"/>
      <x:c r="N62" s="2" t="str">
        <x:v>Desde 11 de agosto de 2025</x:v>
      </x:c>
    </x:row>
    <x:row r="63" ht="24" customHeight="1">
      <x:c r="A63" s="9" t="n">
        <x:v>51</x:v>
      </x:c>
      <x:c r="B63" s="9" t="n">
        <x:v>1</x:v>
      </x:c>
      <x:c r="C63" s="2" t="str">
        <x:v>Barras</x:v>
      </x:c>
      <x:c r="D63" s="2" t="str">
        <x:v>Multigrano Linaza 32 g</x:v>
      </x:c>
      <x:c r="E63" s="2" t="str">
        <x:v>Bimbo Multigrano Linaza 32 g</x:v>
      </x:c>
      <x:c r="F63" s="2"/>
      <x:c r="G63" s="2" t="str">
        <x:v>Presentación de la lista</x:v>
      </x:c>
      <x:c r="H63" s="9" t="n">
        <x:v>1</x:v>
      </x:c>
      <x:c r="I63" s="7" t="n">
        <x:v>9.96</x:v>
      </x:c>
      <x:c r="J63" s="7" t="n">
        <x:v>12</x:v>
      </x:c>
      <x:c r="K63" s="7" t="n">
        <x:f>ROUND(ROUND(I63*100,0)/H63,0)/100</x:f>
        <x:v>9.96</x:v>
      </x:c>
      <x:c r="L63" s="7"/>
      <x:c r="M63" s="12"/>
      <x:c r="N63" s="2" t="str">
        <x:v>Desde 11 de agosto de 2025</x:v>
      </x:c>
    </x:row>
    <x:row r="64" ht="24" customHeight="1">
      <x:c r="A64" s="9" t="n">
        <x:v>52</x:v>
      </x:c>
      <x:c r="B64" s="9" t="n">
        <x:v>1</x:v>
      </x:c>
      <x:c r="C64" s="2" t="str">
        <x:v>Barras</x:v>
      </x:c>
      <x:c r="D64" s="2" t="str">
        <x:v>Multigrano Nuez 34 g</x:v>
      </x:c>
      <x:c r="E64" s="2" t="str">
        <x:v>Bimbo Multigrano Nuez 34 g</x:v>
      </x:c>
      <x:c r="F64" s="2"/>
      <x:c r="G64" s="2" t="str">
        <x:v>Presentación de la lista</x:v>
      </x:c>
      <x:c r="H64" s="9" t="n">
        <x:v>1</x:v>
      </x:c>
      <x:c r="I64" s="7" t="n">
        <x:v>9.96</x:v>
      </x:c>
      <x:c r="J64" s="7" t="n">
        <x:v>12</x:v>
      </x:c>
      <x:c r="K64" s="7" t="n">
        <x:f>ROUND(ROUND(I64*100,0)/H64,0)/100</x:f>
        <x:v>9.96</x:v>
      </x:c>
      <x:c r="L64" s="7"/>
      <x:c r="M64" s="12"/>
      <x:c r="N64" s="2" t="str">
        <x:v>Desde 11 de agosto de 2025</x:v>
      </x:c>
    </x:row>
    <x:row r="65" ht="24" customHeight="1">
      <x:c r="A65" s="9" t="n">
        <x:v>53</x:v>
      </x:c>
      <x:c r="B65" s="9" t="n">
        <x:v>1</x:v>
      </x:c>
      <x:c r="C65" s="2" t="str">
        <x:v>Barras</x:v>
      </x:c>
      <x:c r="D65" s="2" t="str">
        <x:v>Fruit Grain Salvfresa 67 g</x:v>
      </x:c>
      <x:c r="E65" s="2" t="str">
        <x:v>Bimbo Fruit Grain Salvfresa 67 g</x:v>
      </x:c>
      <x:c r="F65" s="2"/>
      <x:c r="G65" s="2" t="str">
        <x:v>Presentación de la lista</x:v>
      </x:c>
      <x:c r="H65" s="9" t="n">
        <x:v>1</x:v>
      </x:c>
      <x:c r="I65" s="7" t="n">
        <x:v>12.45</x:v>
      </x:c>
      <x:c r="J65" s="7" t="n">
        <x:v>15</x:v>
      </x:c>
      <x:c r="K65" s="7" t="n">
        <x:f>ROUND(ROUND(I65*100,0)/H65,0)/100</x:f>
        <x:v>12.45</x:v>
      </x:c>
      <x:c r="L65" s="7"/>
      <x:c r="M65" s="12"/>
      <x:c r="N65" s="2" t="str">
        <x:v>Desde 11 de agosto de 2025</x:v>
      </x:c>
    </x:row>
    <x:row r="66" ht="24" customHeight="1">
      <x:c r="A66" s="9" t="n">
        <x:v>54</x:v>
      </x:c>
      <x:c r="B66" s="9" t="n">
        <x:v>1</x:v>
      </x:c>
      <x:c r="C66" s="2" t="str">
        <x:v>Barras</x:v>
      </x:c>
      <x:c r="D66" s="2" t="str">
        <x:v>Fruit Grain Strudel Manzana 1 p 65 g</x:v>
      </x:c>
      <x:c r="E66" s="2" t="str">
        <x:v>Bimbo Fruit Grain Strudel Manzana 1 p 65 g</x:v>
      </x:c>
      <x:c r="F66" s="2"/>
      <x:c r="G66" s="2" t="str">
        <x:v>Presentación de la lista</x:v>
      </x:c>
      <x:c r="H66" s="9" t="n">
        <x:v>1</x:v>
      </x:c>
      <x:c r="I66" s="7" t="n">
        <x:v>9.96</x:v>
      </x:c>
      <x:c r="J66" s="7" t="n">
        <x:v>12</x:v>
      </x:c>
      <x:c r="K66" s="7" t="n">
        <x:f>ROUND(ROUND(I66*100,0)/H66,0)/100</x:f>
        <x:v>9.96</x:v>
      </x:c>
      <x:c r="L66" s="7"/>
      <x:c r="M66" s="12"/>
      <x:c r="N66" s="2" t="str">
        <x:v>Desde 11 de agosto de 2025</x:v>
      </x:c>
    </x:row>
    <x:row r="67" ht="24" customHeight="1">
      <x:c r="A67" s="9" t="n">
        <x:v>55</x:v>
      </x:c>
      <x:c r="B67" s="9" t="n">
        <x:v>1</x:v>
      </x:c>
      <x:c r="C67" s="2" t="str">
        <x:v>Wonder pasteles</x:v>
      </x:c>
      <x:c r="D67" s="2" t="str">
        <x:v>Chocotorro 50 g / Dálmata 55 g</x:v>
      </x:c>
      <x:c r="E67" s="2" t="str">
        <x:v>Wonder Chocotorro 50 g</x:v>
      </x:c>
      <x:c r="F67" s="2"/>
      <x:c r="G67" s="2" t="str">
        <x:v>Presentación de la lista</x:v>
      </x:c>
      <x:c r="H67" s="9" t="n">
        <x:v>1</x:v>
      </x:c>
      <x:c r="I67" s="7" t="n">
        <x:v>12.45</x:v>
      </x:c>
      <x:c r="J67" s="7" t="n">
        <x:v>15</x:v>
      </x:c>
      <x:c r="K67" s="7" t="n">
        <x:f>ROUND(ROUND(I67*100,0)/H67,0)/100</x:f>
        <x:v>12.45</x:v>
      </x:c>
      <x:c r="L67" s="7"/>
      <x:c r="M67" s="12"/>
      <x:c r="N67" s="2" t="str">
        <x:v>Desde 11 de agosto de 2025</x:v>
      </x:c>
    </x:row>
    <x:row r="68" ht="24" customHeight="1">
      <x:c r="A68" s="9" t="n">
        <x:v>55</x:v>
      </x:c>
      <x:c r="B68" s="9" t="n">
        <x:v>1</x:v>
      </x:c>
      <x:c r="C68" s="2" t="str">
        <x:v>Wonder pasteles</x:v>
      </x:c>
      <x:c r="D68" s="2" t="str">
        <x:v>Chocotorro 50 g / Dálmata 55 g</x:v>
      </x:c>
      <x:c r="E68" s="2" t="str">
        <x:v>Wonder Dálmata 55 g</x:v>
      </x:c>
      <x:c r="F68" s="2"/>
      <x:c r="G68" s="2" t="str">
        <x:v>Presentación de la lista</x:v>
      </x:c>
      <x:c r="H68" s="9" t="n">
        <x:v>1</x:v>
      </x:c>
      <x:c r="I68" s="7" t="n">
        <x:v>12.45</x:v>
      </x:c>
      <x:c r="J68" s="7" t="n">
        <x:v>15</x:v>
      </x:c>
      <x:c r="K68" s="7" t="n">
        <x:f>ROUND(ROUND(I68*100,0)/H68,0)/100</x:f>
        <x:v>12.45</x:v>
      </x:c>
      <x:c r="L68" s="7"/>
      <x:c r="M68" s="12"/>
      <x:c r="N68" s="2" t="str">
        <x:v>Desde 11 de agosto de 2025</x:v>
      </x:c>
    </x:row>
    <x:row r="69" ht="24" customHeight="1">
      <x:c r="A69" s="9" t="n">
        <x:v>56</x:v>
      </x:c>
      <x:c r="B69" s="9" t="n">
        <x:v>1</x:v>
      </x:c>
      <x:c r="C69" s="2" t="str">
        <x:v>Wonder pasteles</x:v>
      </x:c>
      <x:c r="D69" s="2" t="str">
        <x:v>Mini Chocotorro 1 p 24 g</x:v>
      </x:c>
      <x:c r="E69" s="2" t="str">
        <x:v>Wonder Mini Chocotorro 1 p 24 g</x:v>
      </x:c>
      <x:c r="F69" s="2"/>
      <x:c r="G69" s="2" t="str">
        <x:v>Presentación de la lista</x:v>
      </x:c>
      <x:c r="H69" s="9" t="n">
        <x:v>1</x:v>
      </x:c>
      <x:c r="I69" s="7" t="n">
        <x:v>5.81</x:v>
      </x:c>
      <x:c r="J69" s="7" t="n">
        <x:v>7</x:v>
      </x:c>
      <x:c r="K69" s="7" t="n">
        <x:f>ROUND(ROUND(I69*100,0)/H69,0)/100</x:f>
        <x:v>5.81</x:v>
      </x:c>
      <x:c r="L69" s="7"/>
      <x:c r="M69" s="12"/>
      <x:c r="N69" s="2" t="str">
        <x:v>Desde 11 de agosto de 2025</x:v>
      </x:c>
    </x:row>
    <x:row r="70" ht="24" customHeight="1">
      <x:c r="A70" s="9" t="n">
        <x:v>57</x:v>
      </x:c>
      <x:c r="B70" s="9" t="n">
        <x:v>1</x:v>
      </x:c>
      <x:c r="C70" s="2" t="str">
        <x:v>Wonder pasteles</x:v>
      </x:c>
      <x:c r="D70" s="2" t="str">
        <x:v>Twinkies 3 p Vainilla y Chocolate 114 g</x:v>
      </x:c>
      <x:c r="E70" s="2" t="str">
        <x:v>Wonder Twinkies 3 p 114 g</x:v>
      </x:c>
      <x:c r="F70" s="2" t="str">
        <x:v>Vainilla</x:v>
      </x:c>
      <x:c r="G70" s="2" t="str">
        <x:v>Presentación de la lista</x:v>
      </x:c>
      <x:c r="H70" s="9" t="n">
        <x:v>1</x:v>
      </x:c>
      <x:c r="I70" s="7" t="n">
        <x:v>15.77</x:v>
      </x:c>
      <x:c r="J70" s="7" t="n">
        <x:v>19</x:v>
      </x:c>
      <x:c r="K70" s="7" t="n">
        <x:f>ROUND(ROUND(I70*100,0)/H70,0)/100</x:f>
        <x:v>15.77</x:v>
      </x:c>
      <x:c r="L70" s="7"/>
      <x:c r="M70" s="12"/>
      <x:c r="N70" s="2" t="str">
        <x:v>Desde 11 de agosto de 2025</x:v>
      </x:c>
    </x:row>
    <x:row r="71" ht="24" customHeight="1">
      <x:c r="A71" s="9" t="n">
        <x:v>57</x:v>
      </x:c>
      <x:c r="B71" s="9" t="n">
        <x:v>1</x:v>
      </x:c>
      <x:c r="C71" s="2" t="str">
        <x:v>Wonder pasteles</x:v>
      </x:c>
      <x:c r="D71" s="2" t="str">
        <x:v>Twinkies 3 p Vainilla y Chocolate 114 g</x:v>
      </x:c>
      <x:c r="E71" s="2" t="str">
        <x:v>Wonder Twinkies 3 p 114 g</x:v>
      </x:c>
      <x:c r="F71" s="2" t="str">
        <x:v>Chocolate</x:v>
      </x:c>
      <x:c r="G71" s="2" t="str">
        <x:v>Presentación de la lista</x:v>
      </x:c>
      <x:c r="H71" s="9" t="n">
        <x:v>1</x:v>
      </x:c>
      <x:c r="I71" s="7" t="n">
        <x:v>15.77</x:v>
      </x:c>
      <x:c r="J71" s="7" t="n">
        <x:v>19</x:v>
      </x:c>
      <x:c r="K71" s="7" t="n">
        <x:f>ROUND(ROUND(I71*100,0)/H71,0)/100</x:f>
        <x:v>15.77</x:v>
      </x:c>
      <x:c r="L71" s="7"/>
      <x:c r="M71" s="12"/>
      <x:c r="N71" s="2" t="str">
        <x:v>Desde 11 de agosto de 2025</x:v>
      </x:c>
    </x:row>
    <x:row r="72" ht="24" customHeight="1">
      <x:c r="A72" s="9" t="n">
        <x:v>58</x:v>
      </x:c>
      <x:c r="B72" s="9" t="n">
        <x:v>1</x:v>
      </x:c>
      <x:c r="C72" s="2" t="str">
        <x:v>Wonder panes y bollería</x:v>
      </x:c>
      <x:c r="D72" s="2" t="str">
        <x:v>Hot Dogs 8 p 340 g</x:v>
      </x:c>
      <x:c r="E72" s="2" t="str">
        <x:v>Wonder Hot Dogs 8 p 340 g</x:v>
      </x:c>
      <x:c r="F72" s="2"/>
      <x:c r="G72" s="2" t="str">
        <x:v>Presentación de la lista</x:v>
      </x:c>
      <x:c r="H72" s="9" t="n">
        <x:v>1</x:v>
      </x:c>
      <x:c r="I72" s="7" t="n">
        <x:v>39.84</x:v>
      </x:c>
      <x:c r="J72" s="7" t="n">
        <x:v>48</x:v>
      </x:c>
      <x:c r="K72" s="7" t="n">
        <x:f>ROUND(ROUND(I72*100,0)/H72,0)/100</x:f>
        <x:v>39.84</x:v>
      </x:c>
      <x:c r="L72" s="7"/>
      <x:c r="M72" s="12"/>
      <x:c r="N72" s="2" t="str">
        <x:v>Desde 11 de agosto de 2025</x:v>
      </x:c>
    </x:row>
    <x:row r="73" ht="24" customHeight="1">
      <x:c r="A73" s="9" t="n">
        <x:v>59</x:v>
      </x:c>
      <x:c r="B73" s="9" t="n">
        <x:v>1</x:v>
      </x:c>
      <x:c r="C73" s="2" t="str">
        <x:v>Wonder panes y bollería</x:v>
      </x:c>
      <x:c r="D73" s="2" t="str">
        <x:v>Súper Bollos 8 p 540 g</x:v>
      </x:c>
      <x:c r="E73" s="2" t="str">
        <x:v>Wonder Súper Bollos 8 p 540 g</x:v>
      </x:c>
      <x:c r="F73" s="2"/>
      <x:c r="G73" s="2" t="str">
        <x:v>Presentación de la lista</x:v>
      </x:c>
      <x:c r="H73" s="9" t="n">
        <x:v>1</x:v>
      </x:c>
      <x:c r="I73" s="7" t="n">
        <x:v>53.95</x:v>
      </x:c>
      <x:c r="J73" s="7" t="n">
        <x:v>65</x:v>
      </x:c>
      <x:c r="K73" s="7" t="n">
        <x:f>ROUND(ROUND(I73*100,0)/H73,0)/100</x:f>
        <x:v>53.95</x:v>
      </x:c>
      <x:c r="L73" s="7"/>
      <x:c r="M73" s="12"/>
      <x:c r="N73" s="2" t="str">
        <x:v>Desde 11 de agosto de 2025</x:v>
      </x:c>
    </x:row>
    <x:row r="74" ht="24" customHeight="1">
      <x:c r="A74" s="9" t="n">
        <x:v>60</x:v>
      </x:c>
      <x:c r="B74" s="9" t="n">
        <x:v>1</x:v>
      </x:c>
      <x:c r="C74" s="2" t="str">
        <x:v>Wonder panes y bollería</x:v>
      </x:c>
      <x:c r="D74" s="2" t="str">
        <x:v>Súper Hot Dogs 8 p 526 g</x:v>
      </x:c>
      <x:c r="E74" s="2" t="str">
        <x:v>Wonder Súper Hot Dogs 8 p 526 g</x:v>
      </x:c>
      <x:c r="F74" s="2"/>
      <x:c r="G74" s="2" t="str">
        <x:v>Presentación de la lista</x:v>
      </x:c>
      <x:c r="H74" s="9" t="n">
        <x:v>1</x:v>
      </x:c>
      <x:c r="I74" s="7" t="n">
        <x:v>48.14</x:v>
      </x:c>
      <x:c r="J74" s="7" t="n">
        <x:v>58</x:v>
      </x:c>
      <x:c r="K74" s="7" t="n">
        <x:f>ROUND(ROUND(I74*100,0)/H74,0)/100</x:f>
        <x:v>48.14</x:v>
      </x:c>
      <x:c r="L74" s="7"/>
      <x:c r="M74" s="12"/>
      <x:c r="N74" s="2" t="str">
        <x:v>Desde 11 de agosto de 2025</x:v>
      </x:c>
    </x:row>
    <x:row r="75" ht="24" customHeight="1">
      <x:c r="A75" s="9" t="n">
        <x:v>61</x:v>
      </x:c>
      <x:c r="B75" s="9" t="n">
        <x:v>1</x:v>
      </x:c>
      <x:c r="C75" s="2" t="str">
        <x:v>Wonder panes y bollería</x:v>
      </x:c>
      <x:c r="D75" s="2" t="str">
        <x:v>Integral 100% con Ajonjolí 567 g</x:v>
      </x:c>
      <x:c r="E75" s="2" t="str">
        <x:v>Wonder Integral 100% con Ajonjolí 567 g</x:v>
      </x:c>
      <x:c r="F75" s="2"/>
      <x:c r="G75" s="2" t="str">
        <x:v>Presentación de la lista</x:v>
      </x:c>
      <x:c r="H75" s="9" t="n">
        <x:v>1</x:v>
      </x:c>
      <x:c r="I75" s="7" t="n">
        <x:v>46.48</x:v>
      </x:c>
      <x:c r="J75" s="7" t="n">
        <x:v>56</x:v>
      </x:c>
      <x:c r="K75" s="7" t="n">
        <x:f>ROUND(ROUND(I75*100,0)/H75,0)/100</x:f>
        <x:v>46.48</x:v>
      </x:c>
      <x:c r="L75" s="7"/>
      <x:c r="M75" s="12"/>
      <x:c r="N75" s="2" t="str">
        <x:v>Desde 11 de agosto de 2025</x:v>
      </x:c>
    </x:row>
    <x:row r="76" ht="24" customHeight="1">
      <x:c r="A76" s="9" t="n">
        <x:v>62</x:v>
      </x:c>
      <x:c r="B76" s="9" t="n">
        <x:v>1</x:v>
      </x:c>
      <x:c r="C76" s="2" t="str">
        <x:v>Wonder panes y bollería</x:v>
      </x:c>
      <x:c r="D76" s="2" t="str">
        <x:v>Súper Pan Blanco con Ajonjolí 567 g</x:v>
      </x:c>
      <x:c r="E76" s="2" t="str">
        <x:v>Wonder Súper Pan Blanco con Ajonjolí 567 g</x:v>
      </x:c>
      <x:c r="F76" s="2"/>
      <x:c r="G76" s="2" t="str">
        <x:v>Presentación de la lista</x:v>
      </x:c>
      <x:c r="H76" s="9" t="n">
        <x:v>1</x:v>
      </x:c>
      <x:c r="I76" s="7" t="n">
        <x:v>44.82</x:v>
      </x:c>
      <x:c r="J76" s="7" t="n">
        <x:v>54</x:v>
      </x:c>
      <x:c r="K76" s="7" t="n">
        <x:f>ROUND(ROUND(I76*100,0)/H76,0)/100</x:f>
        <x:v>44.82</x:v>
      </x:c>
      <x:c r="L76" s="7"/>
      <x:c r="M76" s="12"/>
      <x:c r="N76" s="2" t="str">
        <x:v>Desde 11 de agosto de 2025</x:v>
      </x:c>
    </x:row>
    <x:row r="77" ht="24" customHeight="1">
      <x:c r="A77" s="9" t="n">
        <x:v>63</x:v>
      </x:c>
      <x:c r="B77" s="9" t="n">
        <x:v>1</x:v>
      </x:c>
      <x:c r="C77" s="2" t="str">
        <x:v>Tortillas</x:v>
      </x:c>
      <x:c r="D77" s="2" t="str">
        <x:v>Tortilla de Harina 15 p 300 g DH</x:v>
      </x:c>
      <x:c r="E77" s="2" t="str">
        <x:v>Del Hogar Tortilla de Harina 15 p 300 g</x:v>
      </x:c>
      <x:c r="F77" s="2"/>
      <x:c r="G77" s="2" t="str">
        <x:v>Presentación de la lista</x:v>
      </x:c>
      <x:c r="H77" s="9" t="n">
        <x:v>1</x:v>
      </x:c>
      <x:c r="I77" s="7" t="n">
        <x:v>15.12</x:v>
      </x:c>
      <x:c r="J77" s="7" t="n">
        <x:v>18</x:v>
      </x:c>
      <x:c r="K77" s="7" t="n">
        <x:f>ROUND(ROUND(I77*100,0)/H77,0)/100</x:f>
        <x:v>15.12</x:v>
      </x:c>
      <x:c r="L77" s="7"/>
      <x:c r="M77" s="12"/>
      <x:c r="N77" s="2" t="str">
        <x:v>Desde 11 de agosto de 2025</x:v>
      </x:c>
    </x:row>
    <x:row r="78" ht="24" customHeight="1">
      <x:c r="A78" s="9" t="n">
        <x:v>64</x:v>
      </x:c>
      <x:c r="B78" s="9" t="n">
        <x:v>1</x:v>
      </x:c>
      <x:c r="C78" s="2" t="str">
        <x:v>Tortillas</x:v>
      </x:c>
      <x:c r="D78" s="2" t="str">
        <x:v>Tortillinas 15 p 382.5 g TR</x:v>
      </x:c>
      <x:c r="E78" s="2" t="str">
        <x:v>Tía Rosa Tortillinas 15 p 382.5 g</x:v>
      </x:c>
      <x:c r="F78" s="2"/>
      <x:c r="G78" s="2" t="str">
        <x:v>Presentación de la lista</x:v>
      </x:c>
      <x:c r="H78" s="9" t="n">
        <x:v>1</x:v>
      </x:c>
      <x:c r="I78" s="7" t="n">
        <x:v>20.75</x:v>
      </x:c>
      <x:c r="J78" s="7" t="n">
        <x:v>25</x:v>
      </x:c>
      <x:c r="K78" s="7" t="n">
        <x:f>ROUND(ROUND(I78*100,0)/H78,0)/100</x:f>
        <x:v>20.75</x:v>
      </x:c>
      <x:c r="L78" s="7"/>
      <x:c r="M78" s="12"/>
      <x:c r="N78" s="2" t="str">
        <x:v>Desde 11 de agosto de 2025</x:v>
      </x:c>
    </x:row>
    <x:row r="79" ht="24" customHeight="1">
      <x:c r="A79" s="9" t="n">
        <x:v>65</x:v>
      </x:c>
      <x:c r="B79" s="9" t="n">
        <x:v>1</x:v>
      </x:c>
      <x:c r="C79" s="2" t="str">
        <x:v>Tortillas</x:v>
      </x:c>
      <x:c r="D79" s="2" t="str">
        <x:v>Tortillinas 22 p 561 g TR</x:v>
      </x:c>
      <x:c r="E79" s="2" t="str">
        <x:v>Tía Rosa Tortillinas 22 p 561 g</x:v>
      </x:c>
      <x:c r="F79" s="2"/>
      <x:c r="G79" s="2" t="str">
        <x:v>Presentación de la lista</x:v>
      </x:c>
      <x:c r="H79" s="9" t="n">
        <x:v>1</x:v>
      </x:c>
      <x:c r="I79" s="7" t="n">
        <x:v>31.54</x:v>
      </x:c>
      <x:c r="J79" s="7" t="n">
        <x:v>38</x:v>
      </x:c>
      <x:c r="K79" s="7" t="n">
        <x:f>ROUND(ROUND(I79*100,0)/H79,0)/100</x:f>
        <x:v>31.54</x:v>
      </x:c>
      <x:c r="L79" s="7"/>
      <x:c r="M79" s="12"/>
      <x:c r="N79" s="2" t="str">
        <x:v>Desde 11 de agosto de 2025</x:v>
      </x:c>
    </x:row>
    <x:row r="80" ht="24" customHeight="1">
      <x:c r="A80" s="9" t="n">
        <x:v>66</x:v>
      </x:c>
      <x:c r="B80" s="9" t="n">
        <x:v>1</x:v>
      </x:c>
      <x:c r="C80" s="2" t="str">
        <x:v>Tortillas</x:v>
      </x:c>
      <x:c r="D80" s="2" t="str">
        <x:v>Tortillinas 30 p 765 g TR</x:v>
      </x:c>
      <x:c r="E80" s="2" t="str">
        <x:v>Tía Rosa Tortillinas 30 p 765 g</x:v>
      </x:c>
      <x:c r="F80" s="2"/>
      <x:c r="G80" s="2" t="str">
        <x:v>Presentación de la lista</x:v>
      </x:c>
      <x:c r="H80" s="9" t="n">
        <x:v>1</x:v>
      </x:c>
      <x:c r="I80" s="7" t="n">
        <x:v>41.5</x:v>
      </x:c>
      <x:c r="J80" s="7" t="n">
        <x:v>50</x:v>
      </x:c>
      <x:c r="K80" s="7" t="n">
        <x:f>ROUND(ROUND(I80*100,0)/H80,0)/100</x:f>
        <x:v>41.5</x:v>
      </x:c>
      <x:c r="L80" s="7"/>
      <x:c r="M80" s="12"/>
      <x:c r="N80" s="2" t="str">
        <x:v>Desde 11 de agosto de 2025</x:v>
      </x:c>
    </x:row>
    <x:row r="81" ht="24" customHeight="1">
      <x:c r="A81" s="9" t="n">
        <x:v>67</x:v>
      </x:c>
      <x:c r="B81" s="9" t="n">
        <x:v>1</x:v>
      </x:c>
      <x:c r="C81" s="2" t="str">
        <x:v>Tortillas</x:v>
      </x:c>
      <x:c r="D81" s="2" t="str">
        <x:v>Tortillinas Parrilleras 10 p 290 g</x:v>
      </x:c>
      <x:c r="E81" s="2" t="str">
        <x:v>Tía Rosa Tortillinas Parrilleras 10 p 290 g</x:v>
      </x:c>
      <x:c r="F81" s="2"/>
      <x:c r="G81" s="2" t="str">
        <x:v>Presentación de la lista</x:v>
      </x:c>
      <x:c r="H81" s="9" t="n">
        <x:v>1</x:v>
      </x:c>
      <x:c r="I81" s="7" t="n">
        <x:v>24.9</x:v>
      </x:c>
      <x:c r="J81" s="7" t="n">
        <x:v>30</x:v>
      </x:c>
      <x:c r="K81" s="7" t="n">
        <x:f>ROUND(ROUND(I81*100,0)/H81,0)/100</x:f>
        <x:v>24.9</x:v>
      </x:c>
      <x:c r="L81" s="7"/>
      <x:c r="M81" s="12"/>
      <x:c r="N81" s="2" t="str">
        <x:v>Desde 11 de agosto de 2025</x:v>
      </x:c>
    </x:row>
    <x:row r="82" ht="24" customHeight="1">
      <x:c r="A82" s="9" t="n">
        <x:v>68</x:v>
      </x:c>
      <x:c r="B82" s="9" t="n">
        <x:v>1</x:v>
      </x:c>
      <x:c r="C82" s="2" t="str">
        <x:v>Tostadas - totopos - salsas</x:v>
      </x:c>
      <x:c r="D82" s="2" t="str">
        <x:v>Tostada Ondulada 30 p 360 g MR</x:v>
      </x:c>
      <x:c r="E82" s="2" t="str">
        <x:v>Milpa Real Tostada Ondulada 30 p 360 g</x:v>
      </x:c>
      <x:c r="F82" s="2"/>
      <x:c r="G82" s="2" t="str">
        <x:v>Presentación de la lista</x:v>
      </x:c>
      <x:c r="H82" s="9" t="n">
        <x:v>1</x:v>
      </x:c>
      <x:c r="I82" s="7" t="n">
        <x:v>30.34</x:v>
      </x:c>
      <x:c r="J82" s="7" t="n">
        <x:v>37</x:v>
      </x:c>
      <x:c r="K82" s="7" t="n">
        <x:f>ROUND(ROUND(I82*100,0)/H82,0)/100</x:f>
        <x:v>30.34</x:v>
      </x:c>
      <x:c r="L82" s="7"/>
      <x:c r="M82" s="12"/>
      <x:c r="N82" s="2" t="str">
        <x:v>Desde 11 de agosto de 2025</x:v>
      </x:c>
    </x:row>
    <x:row r="83" ht="24" customHeight="1">
      <x:c r="A83" s="9" t="n">
        <x:v>69</x:v>
      </x:c>
      <x:c r="B83" s="9" t="n">
        <x:v>1</x:v>
      </x:c>
      <x:c r="C83" s="2" t="str">
        <x:v>Tostadas - totopos - salsas</x:v>
      </x:c>
      <x:c r="D83" s="2" t="str">
        <x:v>Tostada Plana 15 p 175 g MR</x:v>
      </x:c>
      <x:c r="E83" s="2" t="str">
        <x:v>Milpa Real Tostada Plana 15 p 175 g</x:v>
      </x:c>
      <x:c r="F83" s="2"/>
      <x:c r="G83" s="2" t="str">
        <x:v>Presentación de la lista</x:v>
      </x:c>
      <x:c r="H83" s="9" t="n">
        <x:v>1</x:v>
      </x:c>
      <x:c r="I83" s="7" t="n">
        <x:v>21.32</x:v>
      </x:c>
      <x:c r="J83" s="7" t="n">
        <x:v>26</x:v>
      </x:c>
      <x:c r="K83" s="7" t="n">
        <x:f>ROUND(ROUND(I83*100,0)/H83,0)/100</x:f>
        <x:v>21.32</x:v>
      </x:c>
      <x:c r="L83" s="7"/>
      <x:c r="M83" s="12"/>
      <x:c r="N83" s="2" t="str">
        <x:v>Desde 11 de agosto de 2025</x:v>
      </x:c>
    </x:row>
    <x:row r="84" ht="24" customHeight="1">
      <x:c r="A84" s="9" t="n">
        <x:v>70</x:v>
      </x:c>
      <x:c r="B84" s="9" t="n">
        <x:v>1</x:v>
      </x:c>
      <x:c r="C84" s="2" t="str">
        <x:v>Tostadas - totopos - salsas</x:v>
      </x:c>
      <x:c r="D84" s="2" t="str">
        <x:v>Totopos Chilaquiles 280 g MR</x:v>
      </x:c>
      <x:c r="E84" s="2" t="str">
        <x:v>Milpa Real Totopos Chilaquiles 280 g</x:v>
      </x:c>
      <x:c r="F84" s="2"/>
      <x:c r="G84" s="2" t="str">
        <x:v>Presentación de la lista</x:v>
      </x:c>
      <x:c r="H84" s="9" t="n">
        <x:v>1</x:v>
      </x:c>
      <x:c r="I84" s="7" t="n">
        <x:v>26.24</x:v>
      </x:c>
      <x:c r="J84" s="7" t="n">
        <x:v>32</x:v>
      </x:c>
      <x:c r="K84" s="7" t="n">
        <x:f>ROUND(ROUND(I84*100,0)/H84,0)/100</x:f>
        <x:v>26.24</x:v>
      </x:c>
      <x:c r="L84" s="7"/>
      <x:c r="M84" s="12"/>
      <x:c r="N84" s="2" t="str">
        <x:v>Desde 11 de agosto de 2025</x:v>
      </x:c>
    </x:row>
    <x:row r="85" ht="24" customHeight="1">
      <x:c r="A85" s="9" t="n">
        <x:v>71</x:v>
      </x:c>
      <x:c r="B85" s="9" t="n">
        <x:v>1</x:v>
      </x:c>
      <x:c r="C85" s="2" t="str">
        <x:v>Tostadas - totopos - salsas</x:v>
      </x:c>
      <x:c r="D85" s="2" t="str">
        <x:v>Totopos Chilaquiles 500 g MR</x:v>
      </x:c>
      <x:c r="E85" s="2" t="str">
        <x:v>Milpa Real Totopos Chilaquiles 500 g</x:v>
      </x:c>
      <x:c r="F85" s="2"/>
      <x:c r="G85" s="2" t="str">
        <x:v>Presentación de la lista</x:v>
      </x:c>
      <x:c r="H85" s="9" t="n">
        <x:v>1</x:v>
      </x:c>
      <x:c r="I85" s="7" t="n">
        <x:v>41</x:v>
      </x:c>
      <x:c r="J85" s="7" t="n">
        <x:v>50</x:v>
      </x:c>
      <x:c r="K85" s="7" t="n">
        <x:f>ROUND(ROUND(I85*100,0)/H85,0)/100</x:f>
        <x:v>41</x:v>
      </x:c>
      <x:c r="L85" s="7"/>
      <x:c r="M85" s="12"/>
      <x:c r="N85" s="2" t="str">
        <x:v>Desde 11 de agosto de 2025</x:v>
      </x:c>
    </x:row>
    <x:row r="86" ht="24" customHeight="1">
      <x:c r="A86" s="9" t="n">
        <x:v>72</x:v>
      </x:c>
      <x:c r="B86" s="9" t="n">
        <x:v>1</x:v>
      </x:c>
      <x:c r="C86" s="2" t="str">
        <x:v>Tostadas - totopos - salsas</x:v>
      </x:c>
      <x:c r="D86" s="2" t="str">
        <x:v>Totopos 280 g DH</x:v>
      </x:c>
      <x:c r="E86" s="2" t="str">
        <x:v>Del Hogar Totopos 280 g</x:v>
      </x:c>
      <x:c r="F86" s="2"/>
      <x:c r="G86" s="2" t="str">
        <x:v>Presentación de la lista</x:v>
      </x:c>
      <x:c r="H86" s="9" t="n">
        <x:v>1</x:v>
      </x:c>
      <x:c r="I86" s="7" t="n">
        <x:v>24.6</x:v>
      </x:c>
      <x:c r="J86" s="7" t="n">
        <x:v>30</x:v>
      </x:c>
      <x:c r="K86" s="7" t="n">
        <x:f>ROUND(ROUND(I86*100,0)/H86,0)/100</x:f>
        <x:v>24.6</x:v>
      </x:c>
      <x:c r="L86" s="7"/>
      <x:c r="M86" s="12"/>
      <x:c r="N86" s="2" t="str">
        <x:v>Desde 11 de agosto de 2025</x:v>
      </x:c>
    </x:row>
    <x:row r="87" ht="44" customHeight="1">
      <x:c r="A87" s="9" t="n">
        <x:v>73</x:v>
      </x:c>
      <x:c r="B87" s="9" t="n">
        <x:v>1</x:v>
      </x:c>
      <x:c r="C87" s="2" t="str">
        <x:v>Tostadas - totopos - salsas</x:v>
      </x:c>
      <x:c r="D87" s="2" t="str">
        <x:v>Salsa Mora, Chile de Árbol, Verde, Taquera 240 g</x:v>
      </x:c>
      <x:c r="E87" s="2" t="str">
        <x:v>Salsa 240 g</x:v>
      </x:c>
      <x:c r="F87" s="2" t="str">
        <x:v>Mora</x:v>
      </x:c>
      <x:c r="G87" s="2" t="str">
        <x:v>Presentación de la lista</x:v>
      </x:c>
      <x:c r="H87" s="9" t="n">
        <x:v>1</x:v>
      </x:c>
      <x:c r="I87" s="7" t="n">
        <x:v>16.8</x:v>
      </x:c>
      <x:c r="J87" s="7" t="n">
        <x:v>20</x:v>
      </x:c>
      <x:c r="K87" s="7" t="n">
        <x:f>ROUND(ROUND(I87*100,0)/H87,0)/100</x:f>
        <x:v>16.8</x:v>
      </x:c>
      <x:c r="L87" s="7"/>
      <x:c r="M87" s="12" t="str">
        <x:v>La lista agrupa Del Hogar y Milpa Real; no asigna explícitamente una marca a las salsas.</x:v>
      </x:c>
      <x:c r="N87" s="2" t="str">
        <x:v>Desde 11 de agosto de 2025</x:v>
      </x:c>
    </x:row>
    <x:row r="88" ht="44" customHeight="1">
      <x:c r="A88" s="9" t="n">
        <x:v>73</x:v>
      </x:c>
      <x:c r="B88" s="9" t="n">
        <x:v>1</x:v>
      </x:c>
      <x:c r="C88" s="2" t="str">
        <x:v>Tostadas - totopos - salsas</x:v>
      </x:c>
      <x:c r="D88" s="2" t="str">
        <x:v>Salsa Mora, Chile de Árbol, Verde, Taquera 240 g</x:v>
      </x:c>
      <x:c r="E88" s="2" t="str">
        <x:v>Salsa 240 g</x:v>
      </x:c>
      <x:c r="F88" s="2" t="str">
        <x:v>Chile de Árbol</x:v>
      </x:c>
      <x:c r="G88" s="2" t="str">
        <x:v>Presentación de la lista</x:v>
      </x:c>
      <x:c r="H88" s="9" t="n">
        <x:v>1</x:v>
      </x:c>
      <x:c r="I88" s="7" t="n">
        <x:v>16.8</x:v>
      </x:c>
      <x:c r="J88" s="7" t="n">
        <x:v>20</x:v>
      </x:c>
      <x:c r="K88" s="7" t="n">
        <x:f>ROUND(ROUND(I88*100,0)/H88,0)/100</x:f>
        <x:v>16.8</x:v>
      </x:c>
      <x:c r="L88" s="7"/>
      <x:c r="M88" s="12" t="str">
        <x:v>La lista agrupa Del Hogar y Milpa Real; no asigna explícitamente una marca a las salsas.</x:v>
      </x:c>
      <x:c r="N88" s="2" t="str">
        <x:v>Desde 11 de agosto de 2025</x:v>
      </x:c>
    </x:row>
    <x:row r="89" ht="44" customHeight="1">
      <x:c r="A89" s="9" t="n">
        <x:v>73</x:v>
      </x:c>
      <x:c r="B89" s="9" t="n">
        <x:v>1</x:v>
      </x:c>
      <x:c r="C89" s="2" t="str">
        <x:v>Tostadas - totopos - salsas</x:v>
      </x:c>
      <x:c r="D89" s="2" t="str">
        <x:v>Salsa Mora, Chile de Árbol, Verde, Taquera 240 g</x:v>
      </x:c>
      <x:c r="E89" s="2" t="str">
        <x:v>Salsa 240 g</x:v>
      </x:c>
      <x:c r="F89" s="2" t="str">
        <x:v>Verde</x:v>
      </x:c>
      <x:c r="G89" s="2" t="str">
        <x:v>Presentación de la lista</x:v>
      </x:c>
      <x:c r="H89" s="9" t="n">
        <x:v>1</x:v>
      </x:c>
      <x:c r="I89" s="7" t="n">
        <x:v>16.8</x:v>
      </x:c>
      <x:c r="J89" s="7" t="n">
        <x:v>20</x:v>
      </x:c>
      <x:c r="K89" s="7" t="n">
        <x:f>ROUND(ROUND(I89*100,0)/H89,0)/100</x:f>
        <x:v>16.8</x:v>
      </x:c>
      <x:c r="L89" s="7"/>
      <x:c r="M89" s="12" t="str">
        <x:v>La lista agrupa Del Hogar y Milpa Real; no asigna explícitamente una marca a las salsas.</x:v>
      </x:c>
      <x:c r="N89" s="2" t="str">
        <x:v>Desde 11 de agosto de 2025</x:v>
      </x:c>
    </x:row>
    <x:row r="90" ht="44" customHeight="1">
      <x:c r="A90" s="9" t="n">
        <x:v>73</x:v>
      </x:c>
      <x:c r="B90" s="9" t="n">
        <x:v>1</x:v>
      </x:c>
      <x:c r="C90" s="2" t="str">
        <x:v>Tostadas - totopos - salsas</x:v>
      </x:c>
      <x:c r="D90" s="2" t="str">
        <x:v>Salsa Mora, Chile de Árbol, Verde, Taquera 240 g</x:v>
      </x:c>
      <x:c r="E90" s="2" t="str">
        <x:v>Salsa 240 g</x:v>
      </x:c>
      <x:c r="F90" s="2" t="str">
        <x:v>Taquera</x:v>
      </x:c>
      <x:c r="G90" s="2" t="str">
        <x:v>Presentación de la lista</x:v>
      </x:c>
      <x:c r="H90" s="9" t="n">
        <x:v>1</x:v>
      </x:c>
      <x:c r="I90" s="7" t="n">
        <x:v>16.8</x:v>
      </x:c>
      <x:c r="J90" s="7" t="n">
        <x:v>20</x:v>
      </x:c>
      <x:c r="K90" s="7" t="n">
        <x:f>ROUND(ROUND(I90*100,0)/H90,0)/100</x:f>
        <x:v>16.8</x:v>
      </x:c>
      <x:c r="L90" s="7"/>
      <x:c r="M90" s="12" t="str">
        <x:v>La lista agrupa Del Hogar y Milpa Real; no asigna explícitamente una marca a las salsas.</x:v>
      </x:c>
      <x:c r="N90" s="2" t="str">
        <x:v>Desde 11 de agosto de 2025</x:v>
      </x:c>
    </x:row>
    <x:row r="91" ht="24" customHeight="1">
      <x:c r="A91" s="9" t="n">
        <x:v>74</x:v>
      </x:c>
      <x:c r="B91" s="9" t="n">
        <x:v>1</x:v>
      </x:c>
      <x:c r="C91" s="2" t="str">
        <x:v>Oroweat</x:v>
      </x:c>
      <x:c r="D91" s="2" t="str">
        <x:v>100% Integral 680 g</x:v>
      </x:c>
      <x:c r="E91" s="2" t="str">
        <x:v>Oroweat 100% Integral 680 g</x:v>
      </x:c>
      <x:c r="F91" s="2"/>
      <x:c r="G91" s="2" t="str">
        <x:v>Presentación de la lista</x:v>
      </x:c>
      <x:c r="H91" s="9" t="n">
        <x:v>1</x:v>
      </x:c>
      <x:c r="I91" s="7" t="n">
        <x:v>65.6</x:v>
      </x:c>
      <x:c r="J91" s="7" t="n">
        <x:v>80</x:v>
      </x:c>
      <x:c r="K91" s="7" t="n">
        <x:f>ROUND(ROUND(I91*100,0)/H91,0)/100</x:f>
        <x:v>65.6</x:v>
      </x:c>
      <x:c r="L91" s="7"/>
      <x:c r="M91" s="12"/>
      <x:c r="N91" s="2" t="str">
        <x:v>Desde 11 de agosto de 2025</x:v>
      </x:c>
    </x:row>
    <x:row r="92" ht="24" customHeight="1">
      <x:c r="A92" s="9" t="n">
        <x:v>75</x:v>
      </x:c>
      <x:c r="B92" s="9" t="n">
        <x:v>1</x:v>
      </x:c>
      <x:c r="C92" s="2" t="str">
        <x:v>Oroweat</x:v>
      </x:c>
      <x:c r="D92" s="2" t="str">
        <x:v>12 Granos 680 g</x:v>
      </x:c>
      <x:c r="E92" s="2" t="str">
        <x:v>Oroweat 12 Granos 680 g</x:v>
      </x:c>
      <x:c r="F92" s="2"/>
      <x:c r="G92" s="2" t="str">
        <x:v>Presentación de la lista</x:v>
      </x:c>
      <x:c r="H92" s="9" t="n">
        <x:v>1</x:v>
      </x:c>
      <x:c r="I92" s="7" t="n">
        <x:v>65.6</x:v>
      </x:c>
      <x:c r="J92" s="7" t="n">
        <x:v>80</x:v>
      </x:c>
      <x:c r="K92" s="7" t="n">
        <x:f>ROUND(ROUND(I92*100,0)/H92,0)/100</x:f>
        <x:v>65.6</x:v>
      </x:c>
      <x:c r="L92" s="7"/>
      <x:c r="M92" s="12"/>
      <x:c r="N92" s="2" t="str">
        <x:v>Desde 11 de agosto de 2025</x:v>
      </x:c>
    </x:row>
    <x:row r="93" ht="24" customHeight="1">
      <x:c r="A93" s="9" t="n">
        <x:v>76</x:v>
      </x:c>
      <x:c r="B93" s="9" t="n">
        <x:v>1</x:v>
      </x:c>
      <x:c r="C93" s="2" t="str">
        <x:v>Oroweat</x:v>
      </x:c>
      <x:c r="D93" s="2" t="str">
        <x:v>Mantequilla ButterMilk 680 g</x:v>
      </x:c>
      <x:c r="E93" s="2" t="str">
        <x:v>Oroweat Mantequilla ButterMilk 680 g</x:v>
      </x:c>
      <x:c r="F93" s="2"/>
      <x:c r="G93" s="2" t="str">
        <x:v>Presentación de la lista</x:v>
      </x:c>
      <x:c r="H93" s="9" t="n">
        <x:v>1</x:v>
      </x:c>
      <x:c r="I93" s="7" t="n">
        <x:v>65.6</x:v>
      </x:c>
      <x:c r="J93" s="7" t="n">
        <x:v>80</x:v>
      </x:c>
      <x:c r="K93" s="7" t="n">
        <x:f>ROUND(ROUND(I93*100,0)/H93,0)/100</x:f>
        <x:v>65.6</x:v>
      </x:c>
      <x:c r="L93" s="7"/>
      <x:c r="M93" s="12"/>
      <x:c r="N93" s="2" t="str">
        <x:v>Desde 11 de agosto de 2025</x:v>
      </x:c>
    </x:row>
    <x:row r="94" ht="24" customHeight="1">
      <x:c r="A94" s="9" t="n">
        <x:v>77</x:v>
      </x:c>
      <x:c r="B94" s="9" t="n">
        <x:v>1</x:v>
      </x:c>
      <x:c r="C94" s="2" t="str">
        <x:v>Oroweat</x:v>
      </x:c>
      <x:c r="D94" s="2" t="str">
        <x:v>Multigrano 680 g</x:v>
      </x:c>
      <x:c r="E94" s="2" t="str">
        <x:v>Oroweat Multigrano 680 g</x:v>
      </x:c>
      <x:c r="F94" s="2"/>
      <x:c r="G94" s="2" t="str">
        <x:v>Presentación de la lista</x:v>
      </x:c>
      <x:c r="H94" s="9" t="n">
        <x:v>1</x:v>
      </x:c>
      <x:c r="I94" s="7" t="n">
        <x:v>65.6</x:v>
      </x:c>
      <x:c r="J94" s="7" t="n">
        <x:v>80</x:v>
      </x:c>
      <x:c r="K94" s="7" t="n">
        <x:f>ROUND(ROUND(I94*100,0)/H94,0)/100</x:f>
        <x:v>65.6</x:v>
      </x:c>
      <x:c r="L94" s="7"/>
      <x:c r="M94" s="12"/>
      <x:c r="N94" s="2" t="str">
        <x:v>Desde 11 de agosto de 2025</x:v>
      </x:c>
    </x:row>
    <x:row r="95" ht="24" customHeight="1">
      <x:c r="A95" s="9" t="n">
        <x:v>78</x:v>
      </x:c>
      <x:c r="B95" s="9" t="n">
        <x:v>1</x:v>
      </x:c>
      <x:c r="C95" s="2" t="str">
        <x:v>Oroweat</x:v>
      </x:c>
      <x:c r="D95" s="2" t="str">
        <x:v>Thins Multigrano 6 p 255 g</x:v>
      </x:c>
      <x:c r="E95" s="2" t="str">
        <x:v>Oroweat Thins Multigrano 6 p 255 g</x:v>
      </x:c>
      <x:c r="F95" s="2"/>
      <x:c r="G95" s="2" t="str">
        <x:v>Presentación de la lista</x:v>
      </x:c>
      <x:c r="H95" s="9" t="n">
        <x:v>1</x:v>
      </x:c>
      <x:c r="I95" s="7" t="n">
        <x:v>28.7</x:v>
      </x:c>
      <x:c r="J95" s="7" t="n">
        <x:v>35</x:v>
      </x:c>
      <x:c r="K95" s="7" t="n">
        <x:f>ROUND(ROUND(I95*100,0)/H95,0)/100</x:f>
        <x:v>28.7</x:v>
      </x:c>
      <x:c r="L95" s="7"/>
      <x:c r="M95" s="12"/>
      <x:c r="N95" s="2" t="str">
        <x:v>Desde 11 de agosto de 2025</x:v>
      </x:c>
    </x:row>
    <x:row r="96" ht="24" customHeight="1">
      <x:c r="A96" s="9" t="n">
        <x:v>79</x:v>
      </x:c>
      <x:c r="B96" s="9" t="n">
        <x:v>1</x:v>
      </x:c>
      <x:c r="C96" s="2" t="str">
        <x:v>Sanissimo</x:v>
      </x:c>
      <x:c r="D96" s="2" t="str">
        <x:v>Galleta de Arroz y Quinoa 1 p 12 g</x:v>
      </x:c>
      <x:c r="E96" s="2" t="str">
        <x:v>Sanissimo Galleta de Arroz y Quinoa 1 p 12 g</x:v>
      </x:c>
      <x:c r="F96" s="2"/>
      <x:c r="G96" s="2" t="str">
        <x:v>Presentación de la lista</x:v>
      </x:c>
      <x:c r="H96" s="9" t="n">
        <x:v>1</x:v>
      </x:c>
      <x:c r="I96" s="7" t="n">
        <x:v>6.48</x:v>
      </x:c>
      <x:c r="J96" s="7" t="n">
        <x:v>8</x:v>
      </x:c>
      <x:c r="K96" s="7" t="n">
        <x:f>ROUND(ROUND(I96*100,0)/H96,0)/100</x:f>
        <x:v>6.48</x:v>
      </x:c>
      <x:c r="L96" s="7"/>
      <x:c r="M96" s="12"/>
      <x:c r="N96" s="2" t="str">
        <x:v>Desde 11 de agosto de 2025</x:v>
      </x:c>
    </x:row>
    <x:row r="97" ht="24" customHeight="1">
      <x:c r="A97" s="9" t="n">
        <x:v>80</x:v>
      </x:c>
      <x:c r="B97" s="9" t="n">
        <x:v>1</x:v>
      </x:c>
      <x:c r="C97" s="2" t="str">
        <x:v>Sanissimo</x:v>
      </x:c>
      <x:c r="D97" s="2" t="str">
        <x:v>Rosquitas Horneadas 20 g</x:v>
      </x:c>
      <x:c r="E97" s="2" t="str">
        <x:v>Sanissimo Rosquitas Horneadas 20 g</x:v>
      </x:c>
      <x:c r="F97" s="2"/>
      <x:c r="G97" s="2" t="str">
        <x:v>Presentación de la lista</x:v>
      </x:c>
      <x:c r="H97" s="9" t="n">
        <x:v>1</x:v>
      </x:c>
      <x:c r="I97" s="7" t="n">
        <x:v>12.15</x:v>
      </x:c>
      <x:c r="J97" s="7" t="n">
        <x:v>15</x:v>
      </x:c>
      <x:c r="K97" s="7" t="n">
        <x:f>ROUND(ROUND(I97*100,0)/H97,0)/100</x:f>
        <x:v>12.15</x:v>
      </x:c>
      <x:c r="L97" s="7"/>
      <x:c r="M97" s="12"/>
      <x:c r="N97" s="2" t="str">
        <x:v>Desde 11 de agosto de 2025</x:v>
      </x:c>
    </x:row>
    <x:row r="98" ht="24" customHeight="1">
      <x:c r="A98" s="9" t="n">
        <x:v>81</x:v>
      </x:c>
      <x:c r="B98" s="9" t="n">
        <x:v>1</x:v>
      </x:c>
      <x:c r="C98" s="2" t="str">
        <x:v>Sanissimo</x:v>
      </x:c>
      <x:c r="D98" s="2" t="str">
        <x:v>Salmas 90 g</x:v>
      </x:c>
      <x:c r="E98" s="2" t="str">
        <x:v>Sanissimo Salmas 90 g</x:v>
      </x:c>
      <x:c r="F98" s="2"/>
      <x:c r="G98" s="2" t="str">
        <x:v>Presentación de la lista</x:v>
      </x:c>
      <x:c r="H98" s="9" t="n">
        <x:v>1</x:v>
      </x:c>
      <x:c r="I98" s="7" t="n">
        <x:v>17.82</x:v>
      </x:c>
      <x:c r="J98" s="7" t="n">
        <x:v>22</x:v>
      </x:c>
      <x:c r="K98" s="7" t="n">
        <x:f>ROUND(ROUND(I98*100,0)/H98,0)/100</x:f>
        <x:v>17.82</x:v>
      </x:c>
      <x:c r="L98" s="7"/>
      <x:c r="M98" s="12"/>
      <x:c r="N98" s="2" t="str">
        <x:v>Desde 11 de agosto de 2025</x:v>
      </x:c>
    </x:row>
    <x:row r="99" ht="24" customHeight="1">
      <x:c r="A99" s="9" t="n">
        <x:v>82</x:v>
      </x:c>
      <x:c r="B99" s="9" t="n">
        <x:v>1</x:v>
      </x:c>
      <x:c r="C99" s="2" t="str">
        <x:v>Sanissimo</x:v>
      </x:c>
      <x:c r="D99" s="2" t="str">
        <x:v>Flow Pack Salmas 8 p 144 g</x:v>
      </x:c>
      <x:c r="E99" s="2" t="str">
        <x:v>Sanissimo Flow Pack Salmas 8 p 144 g</x:v>
      </x:c>
      <x:c r="F99" s="2"/>
      <x:c r="G99" s="2" t="str">
        <x:v>Presentación de la lista</x:v>
      </x:c>
      <x:c r="H99" s="9" t="n">
        <x:v>1</x:v>
      </x:c>
      <x:c r="I99" s="7" t="n">
        <x:v>25.11</x:v>
      </x:c>
      <x:c r="J99" s="7" t="n">
        <x:v>31</x:v>
      </x:c>
      <x:c r="K99" s="7" t="n">
        <x:f>ROUND(ROUND(I99*100,0)/H99,0)/100</x:f>
        <x:v>25.11</x:v>
      </x:c>
      <x:c r="L99" s="7"/>
      <x:c r="M99" s="12"/>
      <x:c r="N99" s="2" t="str">
        <x:v>Desde 11 de agosto de 2025</x:v>
      </x:c>
    </x:row>
    <x:row r="100" ht="24" customHeight="1">
      <x:c r="A100" s="9" t="n">
        <x:v>83</x:v>
      </x:c>
      <x:c r="B100" s="9" t="n">
        <x:v>1</x:v>
      </x:c>
      <x:c r="C100" s="2" t="str">
        <x:v>Sanissimo</x:v>
      </x:c>
      <x:c r="D100" s="2" t="str">
        <x:v>Tostada Clásica 216 g</x:v>
      </x:c>
      <x:c r="E100" s="2" t="str">
        <x:v>Sanissimo Tostada Clásica 216 g</x:v>
      </x:c>
      <x:c r="F100" s="2"/>
      <x:c r="G100" s="2" t="str">
        <x:v>Presentación de la lista</x:v>
      </x:c>
      <x:c r="H100" s="9" t="n">
        <x:v>1</x:v>
      </x:c>
      <x:c r="I100" s="7" t="n">
        <x:v>29.16</x:v>
      </x:c>
      <x:c r="J100" s="7" t="n">
        <x:v>36</x:v>
      </x:c>
      <x:c r="K100" s="7" t="n">
        <x:f>ROUND(ROUND(I100*100,0)/H100,0)/100</x:f>
        <x:v>29.16</x:v>
      </x:c>
      <x:c r="L100" s="7"/>
      <x:c r="M100" s="12"/>
      <x:c r="N100" s="2" t="str">
        <x:v>Desde 11 de agosto de 2025</x:v>
      </x:c>
    </x:row>
    <x:row r="101" ht="24" customHeight="1">
      <x:c r="A101" s="9" t="n">
        <x:v>84</x:v>
      </x:c>
      <x:c r="B101" s="9" t="n">
        <x:v>1</x:v>
      </x:c>
      <x:c r="C101" s="2" t="str">
        <x:v>Sanissimo</x:v>
      </x:c>
      <x:c r="D101" s="2" t="str">
        <x:v>Tostaditas Horneadas 20 p 160 g</x:v>
      </x:c>
      <x:c r="E101" s="2" t="str">
        <x:v>Sanissimo Tostaditas Horneadas 20 p 160 g</x:v>
      </x:c>
      <x:c r="F101" s="2"/>
      <x:c r="G101" s="2" t="str">
        <x:v>Presentación de la lista</x:v>
      </x:c>
      <x:c r="H101" s="9" t="n">
        <x:v>1</x:v>
      </x:c>
      <x:c r="I101" s="7" t="n">
        <x:v>21.87</x:v>
      </x:c>
      <x:c r="J101" s="7" t="n">
        <x:v>27</x:v>
      </x:c>
      <x:c r="K101" s="7" t="n">
        <x:f>ROUND(ROUND(I101*100,0)/H101,0)/100</x:f>
        <x:v>21.87</x:v>
      </x:c>
      <x:c r="L101" s="7"/>
      <x:c r="M101" s="12"/>
      <x:c r="N101" s="2" t="str">
        <x:v>Desde 11 de agosto de 2025</x:v>
      </x:c>
    </x:row>
    <x:row r="102" ht="24" customHeight="1">
      <x:c r="A102" s="9" t="n">
        <x:v>85</x:v>
      </x:c>
      <x:c r="B102" s="9" t="n">
        <x:v>2</x:v>
      </x:c>
      <x:c r="C102" s="2" t="str">
        <x:v>Retornables</x:v>
      </x:c>
      <x:c r="D102" s="2" t="str">
        <x:v>CC 235 ml</x:v>
      </x:c>
      <x:c r="E102" s="2" t="str">
        <x:v>Coca-Cola 235 ml</x:v>
      </x:c>
      <x:c r="F102" s="2" t="str">
        <x:v>Vidrio retornable</x:v>
      </x:c>
      <x:c r="G102" s="2" t="str">
        <x:v>Vidrio Ret</x:v>
      </x:c>
      <x:c r="H102" s="9" t="n">
        <x:v>24</x:v>
      </x:c>
      <x:c r="I102" s="7" t="n">
        <x:v>210</x:v>
      </x:c>
      <x:c r="J102" s="7" t="n">
        <x:v>10</x:v>
      </x:c>
      <x:c r="K102" s="7" t="n">
        <x:f>ROUND(ROUND(I102*100,0)/H102,0)/100</x:f>
        <x:v>8.75</x:v>
      </x:c>
      <x:c r="L102" s="7" t="n">
        <x:v>30</x:v>
      </x:c>
      <x:c r="M102" s="12"/>
      <x:c r="N102" s="2" t="str">
        <x:v>Marzo de 2026</x:v>
      </x:c>
    </x:row>
    <x:row r="103" ht="24" customHeight="1">
      <x:c r="A103" s="9" t="n">
        <x:v>89</x:v>
      </x:c>
      <x:c r="B103" s="9" t="n">
        <x:v>2</x:v>
      </x:c>
      <x:c r="C103" s="2" t="str">
        <x:v>Colas personales</x:v>
      </x:c>
      <x:c r="D103" s="2" t="str">
        <x:v>CC 235 ml</x:v>
      </x:c>
      <x:c r="E103" s="2" t="str">
        <x:v>Coca-Cola 235 ml</x:v>
      </x:c>
      <x:c r="F103" s="2" t="str">
        <x:v>PET no retornable</x:v>
      </x:c>
      <x:c r="G103" s="2" t="str">
        <x:v>Pet NR</x:v>
      </x:c>
      <x:c r="H103" s="9" t="n">
        <x:v>12</x:v>
      </x:c>
      <x:c r="I103" s="7" t="n">
        <x:v>103</x:v>
      </x:c>
      <x:c r="J103" s="7" t="n">
        <x:v>10</x:v>
      </x:c>
      <x:c r="K103" s="7" t="n">
        <x:f>ROUND(ROUND(I103*100,0)/H103,0)/100</x:f>
        <x:v>8.58</x:v>
      </x:c>
      <x:c r="L103" s="7" t="n">
        <x:v>17</x:v>
      </x:c>
      <x:c r="M103" s="12"/>
      <x:c r="N103" s="2" t="str">
        <x:v>Marzo de 2026</x:v>
      </x:c>
    </x:row>
    <x:row r="104" ht="24" customHeight="1">
      <x:c r="A104" s="9" t="n">
        <x:v>90</x:v>
      </x:c>
      <x:c r="B104" s="9" t="n">
        <x:v>2</x:v>
      </x:c>
      <x:c r="C104" s="2" t="str">
        <x:v>Colas personales</x:v>
      </x:c>
      <x:c r="D104" s="2" t="str">
        <x:v>CC 235 ml</x:v>
      </x:c>
      <x:c r="E104" s="2" t="str">
        <x:v>Coca-Cola 235 ml</x:v>
      </x:c>
      <x:c r="F104" s="2" t="str">
        <x:v>Vidrio no retornable</x:v>
      </x:c>
      <x:c r="G104" s="2" t="str">
        <x:v>Vidrio NR</x:v>
      </x:c>
      <x:c r="H104" s="9" t="n">
        <x:v>24</x:v>
      </x:c>
      <x:c r="I104" s="7" t="n">
        <x:v>378</x:v>
      </x:c>
      <x:c r="J104" s="7" t="n">
        <x:v>18</x:v>
      </x:c>
      <x:c r="K104" s="7" t="n">
        <x:f>ROUND(ROUND(I104*100,0)/H104,0)/100</x:f>
        <x:v>15.75</x:v>
      </x:c>
      <x:c r="L104" s="7" t="n">
        <x:v>54</x:v>
      </x:c>
      <x:c r="M104" s="12"/>
      <x:c r="N104" s="2" t="str">
        <x:v>Marzo de 2026</x:v>
      </x:c>
    </x:row>
    <x:row r="105" ht="24" customHeight="1">
      <x:c r="A105" s="9" t="n">
        <x:v>86</x:v>
      </x:c>
      <x:c r="B105" s="9" t="n">
        <x:v>2</x:v>
      </x:c>
      <x:c r="C105" s="2" t="str">
        <x:v>Retornables</x:v>
      </x:c>
      <x:c r="D105" s="2" t="str">
        <x:v>CC 500 ml</x:v>
      </x:c>
      <x:c r="E105" s="2" t="str">
        <x:v>Coca-Cola 500 ml</x:v>
      </x:c>
      <x:c r="F105" s="2" t="str">
        <x:v>Vidrio retornable</x:v>
      </x:c>
      <x:c r="G105" s="2" t="str">
        <x:v>Vidrio Ret</x:v>
      </x:c>
      <x:c r="H105" s="9" t="n">
        <x:v>24</x:v>
      </x:c>
      <x:c r="I105" s="7" t="n">
        <x:v>316</x:v>
      </x:c>
      <x:c r="J105" s="7" t="n">
        <x:v>15</x:v>
      </x:c>
      <x:c r="K105" s="7" t="n">
        <x:f>ROUND(ROUND(I105*100,0)/H105,0)/100</x:f>
        <x:v>13.17</x:v>
      </x:c>
      <x:c r="L105" s="7" t="n">
        <x:v>44</x:v>
      </x:c>
      <x:c r="M105" s="12"/>
      <x:c r="N105" s="2" t="str">
        <x:v>Marzo de 2026</x:v>
      </x:c>
    </x:row>
    <x:row r="106" ht="24" customHeight="1">
      <x:c r="A106" s="9" t="n">
        <x:v>93</x:v>
      </x:c>
      <x:c r="B106" s="9" t="n">
        <x:v>2</x:v>
      </x:c>
      <x:c r="C106" s="2" t="str">
        <x:v>Colas personales</x:v>
      </x:c>
      <x:c r="D106" s="2" t="str">
        <x:v>CC 500 ml</x:v>
      </x:c>
      <x:c r="E106" s="2" t="str">
        <x:v>Coca-Cola 500 ml</x:v>
      </x:c>
      <x:c r="F106" s="2" t="str">
        <x:v>PET no retornable</x:v>
      </x:c>
      <x:c r="G106" s="2" t="str">
        <x:v>Pet NR</x:v>
      </x:c>
      <x:c r="H106" s="9" t="n">
        <x:v>12</x:v>
      </x:c>
      <x:c r="I106" s="7" t="n">
        <x:v>210</x:v>
      </x:c>
      <x:c r="J106" s="7" t="n">
        <x:v>20</x:v>
      </x:c>
      <x:c r="K106" s="7" t="n">
        <x:f>ROUND(ROUND(I106*100,0)/H106,0)/100</x:f>
        <x:v>17.5</x:v>
      </x:c>
      <x:c r="L106" s="7" t="n">
        <x:v>30</x:v>
      </x:c>
      <x:c r="M106" s="12"/>
      <x:c r="N106" s="2" t="str">
        <x:v>Marzo de 2026</x:v>
      </x:c>
    </x:row>
    <x:row r="107" ht="24" customHeight="1">
      <x:c r="A107" s="9" t="n">
        <x:v>87</x:v>
      </x:c>
      <x:c r="B107" s="9" t="n">
        <x:v>2</x:v>
      </x:c>
      <x:c r="C107" s="2" t="str">
        <x:v>Retornables</x:v>
      </x:c>
      <x:c r="D107" s="2" t="str">
        <x:v>CC 1.5 L</x:v>
      </x:c>
      <x:c r="E107" s="2" t="str">
        <x:v>Coca-Cola 1.5 L</x:v>
      </x:c>
      <x:c r="F107" s="2" t="str">
        <x:v>PET retornable</x:v>
      </x:c>
      <x:c r="G107" s="2" t="str">
        <x:v>Pet Ret</x:v>
      </x:c>
      <x:c r="H107" s="9" t="n">
        <x:v>12</x:v>
      </x:c>
      <x:c r="I107" s="7" t="n">
        <x:v>255</x:v>
      </x:c>
      <x:c r="J107" s="7" t="n">
        <x:v>24</x:v>
      </x:c>
      <x:c r="K107" s="7" t="n">
        <x:f>ROUND(ROUND(I107*100,0)/H107,0)/100</x:f>
        <x:v>21.25</x:v>
      </x:c>
      <x:c r="L107" s="7" t="n">
        <x:v>33</x:v>
      </x:c>
      <x:c r="M107" s="12"/>
      <x:c r="N107" s="2" t="str">
        <x:v>Marzo de 2026</x:v>
      </x:c>
    </x:row>
    <x:row r="108" ht="24" customHeight="1">
      <x:c r="A108" s="9" t="n">
        <x:v>96</x:v>
      </x:c>
      <x:c r="B108" s="9" t="n">
        <x:v>2</x:v>
      </x:c>
      <x:c r="C108" s="2" t="str">
        <x:v>Colas familiares</x:v>
      </x:c>
      <x:c r="D108" s="2" t="str">
        <x:v>CC 1.5 L</x:v>
      </x:c>
      <x:c r="E108" s="2" t="str">
        <x:v>Coca-Cola 1.5 L</x:v>
      </x:c>
      <x:c r="F108" s="2" t="str">
        <x:v>PET no retornable</x:v>
      </x:c>
      <x:c r="G108" s="2" t="str">
        <x:v>Pet NR</x:v>
      </x:c>
      <x:c r="H108" s="9" t="n">
        <x:v>12</x:v>
      </x:c>
      <x:c r="I108" s="7" t="n">
        <x:v>336</x:v>
      </x:c>
      <x:c r="J108" s="7" t="n">
        <x:v>32</x:v>
      </x:c>
      <x:c r="K108" s="7" t="n">
        <x:f>ROUND(ROUND(I108*100,0)/H108,0)/100</x:f>
        <x:v>28</x:v>
      </x:c>
      <x:c r="L108" s="7" t="n">
        <x:v>48</x:v>
      </x:c>
      <x:c r="M108" s="12"/>
      <x:c r="N108" s="2" t="str">
        <x:v>Marzo de 2026</x:v>
      </x:c>
    </x:row>
    <x:row r="109" ht="24" customHeight="1">
      <x:c r="A109" s="9" t="n">
        <x:v>88</x:v>
      </x:c>
      <x:c r="B109" s="9" t="n">
        <x:v>2</x:v>
      </x:c>
      <x:c r="C109" s="2" t="str">
        <x:v>Retornables</x:v>
      </x:c>
      <x:c r="D109" s="2" t="str">
        <x:v>CC 2.5 L</x:v>
      </x:c>
      <x:c r="E109" s="2" t="str">
        <x:v>Coca-Cola 2.5 L</x:v>
      </x:c>
      <x:c r="F109" s="2" t="str">
        <x:v>PET retornable</x:v>
      </x:c>
      <x:c r="G109" s="2" t="str">
        <x:v>Pet Ret</x:v>
      </x:c>
      <x:c r="H109" s="9" t="n">
        <x:v>8</x:v>
      </x:c>
      <x:c r="I109" s="7" t="n">
        <x:v>245</x:v>
      </x:c>
      <x:c r="J109" s="7" t="n">
        <x:v>35</x:v>
      </x:c>
      <x:c r="K109" s="7" t="n">
        <x:f>ROUND(ROUND(I109*100,0)/H109,0)/100</x:f>
        <x:v>30.63</x:v>
      </x:c>
      <x:c r="L109" s="7" t="n">
        <x:v>35</x:v>
      </x:c>
      <x:c r="M109" s="12"/>
      <x:c r="N109" s="2" t="str">
        <x:v>Marzo de 2026</x:v>
      </x:c>
    </x:row>
    <x:row r="110" ht="24" customHeight="1">
      <x:c r="A110" s="9" t="n">
        <x:v>98</x:v>
      </x:c>
      <x:c r="B110" s="9" t="n">
        <x:v>2</x:v>
      </x:c>
      <x:c r="C110" s="2" t="str">
        <x:v>Colas familiares</x:v>
      </x:c>
      <x:c r="D110" s="2" t="str">
        <x:v>CC 2.5 L</x:v>
      </x:c>
      <x:c r="E110" s="2" t="str">
        <x:v>Coca-Cola 2.5 L</x:v>
      </x:c>
      <x:c r="F110" s="2" t="str">
        <x:v>PET no retornable</x:v>
      </x:c>
      <x:c r="G110" s="2" t="str">
        <x:v>Pet NR</x:v>
      </x:c>
      <x:c r="H110" s="9" t="n">
        <x:v>9</x:v>
      </x:c>
      <x:c r="I110" s="7" t="n">
        <x:v>336</x:v>
      </x:c>
      <x:c r="J110" s="7" t="n">
        <x:v>43</x:v>
      </x:c>
      <x:c r="K110" s="7" t="n">
        <x:f>ROUND(ROUND(I110*100,0)/H110,0)/100</x:f>
        <x:v>37.33</x:v>
      </x:c>
      <x:c r="L110" s="7" t="n">
        <x:v>51</x:v>
      </x:c>
      <x:c r="M110" s="12"/>
      <x:c r="N110" s="2" t="str">
        <x:v>Marzo de 2026</x:v>
      </x:c>
    </x:row>
    <x:row r="111" ht="24" customHeight="1">
      <x:c r="A111" s="9" t="n">
        <x:v>91</x:v>
      </x:c>
      <x:c r="B111" s="9" t="n">
        <x:v>2</x:v>
      </x:c>
      <x:c r="C111" s="2" t="str">
        <x:v>Colas personales</x:v>
      </x:c>
      <x:c r="D111" s="2" t="str">
        <x:v>CC 355 ml</x:v>
      </x:c>
      <x:c r="E111" s="2" t="str">
        <x:v>Coca-Cola 355 ml</x:v>
      </x:c>
      <x:c r="F111" s="2" t="str">
        <x:v>Lata</x:v>
      </x:c>
      <x:c r="G111" s="2" t="str">
        <x:v>Lata</x:v>
      </x:c>
      <x:c r="H111" s="9" t="n">
        <x:v>24</x:v>
      </x:c>
      <x:c r="I111" s="7" t="n">
        <x:v>461</x:v>
      </x:c>
      <x:c r="J111" s="7" t="n">
        <x:v>22</x:v>
      </x:c>
      <x:c r="K111" s="7" t="n">
        <x:f>ROUND(ROUND(I111*100,0)/H111,0)/100</x:f>
        <x:v>19.21</x:v>
      </x:c>
      <x:c r="L111" s="7" t="n">
        <x:v>67</x:v>
      </x:c>
      <x:c r="M111" s="12"/>
      <x:c r="N111" s="2" t="str">
        <x:v>Marzo de 2026</x:v>
      </x:c>
    </x:row>
    <x:row r="112" ht="24" customHeight="1">
      <x:c r="A112" s="9" t="n">
        <x:v>92</x:v>
      </x:c>
      <x:c r="B112" s="9" t="n">
        <x:v>2</x:v>
      </x:c>
      <x:c r="C112" s="2" t="str">
        <x:v>Colas personales</x:v>
      </x:c>
      <x:c r="D112" s="2" t="str">
        <x:v>CC 355 ml</x:v>
      </x:c>
      <x:c r="E112" s="2" t="str">
        <x:v>Coca-Cola 355 ml</x:v>
      </x:c>
      <x:c r="F112" s="2" t="str">
        <x:v>PET no retornable</x:v>
      </x:c>
      <x:c r="G112" s="2" t="str">
        <x:v>Pet NR</x:v>
      </x:c>
      <x:c r="H112" s="9" t="n">
        <x:v>24</x:v>
      </x:c>
      <x:c r="I112" s="7" t="n">
        <x:v>314</x:v>
      </x:c>
      <x:c r="J112" s="7" t="n">
        <x:v>15</x:v>
      </x:c>
      <x:c r="K112" s="7" t="n">
        <x:f>ROUND(ROUND(I112*100,0)/H112,0)/100</x:f>
        <x:v>13.08</x:v>
      </x:c>
      <x:c r="L112" s="7" t="n">
        <x:v>46</x:v>
      </x:c>
      <x:c r="M112" s="12"/>
      <x:c r="N112" s="2" t="str">
        <x:v>Marzo de 2026</x:v>
      </x:c>
    </x:row>
    <x:row r="113" ht="44" customHeight="1">
      <x:c r="A113" s="9" t="n">
        <x:v>94</x:v>
      </x:c>
      <x:c r="B113" s="9" t="n">
        <x:v>2</x:v>
      </x:c>
      <x:c r="C113" s="2" t="str">
        <x:v>Colas personales</x:v>
      </x:c>
      <x:c r="D113" s="2" t="str">
        <x:v>CC 600 ml</x:v>
      </x:c>
      <x:c r="E113" s="2" t="str">
        <x:v>Coca-Cola 600 ml</x:v>
      </x:c>
      <x:c r="F113" s="2" t="str">
        <x:v>PET no retornable</x:v>
      </x:c>
      <x:c r="G113" s="2" t="str">
        <x:v>Pet NR</x:v>
      </x:c>
      <x:c r="H113" s="9" t="n">
        <x:v>24</x:v>
      </x:c>
      <x:c r="I113" s="7" t="n">
        <x:v>464</x:v>
      </x:c>
      <x:c r="J113" s="7" t="n">
        <x:v>22</x:v>
      </x:c>
      <x:c r="K113" s="7" t="n">
        <x:f>ROUND(ROUND(I113*100,0)/H113,0)/100</x:f>
        <x:v>19.33</x:v>
      </x:c>
      <x:c r="L113" s="7" t="n">
        <x:v>64</x:v>
      </x:c>
      <x:c r="M113" s="12" t="str">
        <x:v>Coste impreso 464.00; anotación manuscrita parece 435. Se usa el impreso: 24 × 22 - 464 = 64, igual a la utilidad de la lista.</x:v>
      </x:c>
      <x:c r="N113" s="2" t="str">
        <x:v>Marzo de 2026</x:v>
      </x:c>
    </x:row>
    <x:row r="114" ht="24" customHeight="1">
      <x:c r="A114" s="9" t="n">
        <x:v>95</x:v>
      </x:c>
      <x:c r="B114" s="9" t="n">
        <x:v>2</x:v>
      </x:c>
      <x:c r="C114" s="2" t="str">
        <x:v>Colas familiares</x:v>
      </x:c>
      <x:c r="D114" s="2" t="str">
        <x:v>CC 1 L</x:v>
      </x:c>
      <x:c r="E114" s="2" t="str">
        <x:v>Coca-Cola 1 L</x:v>
      </x:c>
      <x:c r="F114" s="2" t="str">
        <x:v>PET no retornable</x:v>
      </x:c>
      <x:c r="G114" s="2" t="str">
        <x:v>Pet NR</x:v>
      </x:c>
      <x:c r="H114" s="9" t="n">
        <x:v>12</x:v>
      </x:c>
      <x:c r="I114" s="7" t="n">
        <x:v>284</x:v>
      </x:c>
      <x:c r="J114" s="7" t="n">
        <x:v>27</x:v>
      </x:c>
      <x:c r="K114" s="7" t="n">
        <x:f>ROUND(ROUND(I114*100,0)/H114,0)/100</x:f>
        <x:v>23.67</x:v>
      </x:c>
      <x:c r="L114" s="7" t="n">
        <x:v>40</x:v>
      </x:c>
      <x:c r="M114" s="12"/>
      <x:c r="N114" s="2" t="str">
        <x:v>Marzo de 2026</x:v>
      </x:c>
    </x:row>
    <x:row r="115" ht="24" customHeight="1">
      <x:c r="A115" s="9" t="n">
        <x:v>97</x:v>
      </x:c>
      <x:c r="B115" s="9" t="n">
        <x:v>2</x:v>
      </x:c>
      <x:c r="C115" s="2" t="str">
        <x:v>Colas familiares</x:v>
      </x:c>
      <x:c r="D115" s="2" t="str">
        <x:v>CC 2 L</x:v>
      </x:c>
      <x:c r="E115" s="2" t="str">
        <x:v>Coca-Cola 2 L</x:v>
      </x:c>
      <x:c r="F115" s="2" t="str">
        <x:v>PET no retornable</x:v>
      </x:c>
      <x:c r="G115" s="2" t="str">
        <x:v>Pet NR</x:v>
      </x:c>
      <x:c r="H115" s="9" t="n">
        <x:v>9</x:v>
      </x:c>
      <x:c r="I115" s="7" t="n">
        <x:v>318</x:v>
      </x:c>
      <x:c r="J115" s="7" t="n">
        <x:v>40</x:v>
      </x:c>
      <x:c r="K115" s="7" t="n">
        <x:f>ROUND(ROUND(I115*100,0)/H115,0)/100</x:f>
        <x:v>35.33</x:v>
      </x:c>
      <x:c r="L115" s="7" t="n">
        <x:v>42</x:v>
      </x:c>
      <x:c r="M115" s="12"/>
      <x:c r="N115" s="2" t="str">
        <x:v>Marzo de 2026</x:v>
      </x:c>
    </x:row>
    <x:row r="116" ht="24" customHeight="1">
      <x:c r="A116" s="9" t="n">
        <x:v>99</x:v>
      </x:c>
      <x:c r="B116" s="9" t="n">
        <x:v>2</x:v>
      </x:c>
      <x:c r="C116" s="2" t="str">
        <x:v>Colas familiares</x:v>
      </x:c>
      <x:c r="D116" s="2" t="str">
        <x:v>CC 3 L</x:v>
      </x:c>
      <x:c r="E116" s="2" t="str">
        <x:v>Coca-Cola 3 L</x:v>
      </x:c>
      <x:c r="F116" s="2" t="str">
        <x:v>PET no retornable</x:v>
      </x:c>
      <x:c r="G116" s="2" t="str">
        <x:v>Pet NR</x:v>
      </x:c>
      <x:c r="H116" s="9" t="n">
        <x:v>9</x:v>
      </x:c>
      <x:c r="I116" s="7" t="n">
        <x:v>420</x:v>
      </x:c>
      <x:c r="J116" s="7" t="n">
        <x:v>53</x:v>
      </x:c>
      <x:c r="K116" s="7" t="n">
        <x:f>ROUND(ROUND(I116*100,0)/H116,0)/100</x:f>
        <x:v>46.67</x:v>
      </x:c>
      <x:c r="L116" s="7" t="n">
        <x:v>57</x:v>
      </x:c>
      <x:c r="M116" s="12"/>
      <x:c r="N116" s="2" t="str">
        <x:v>Marzo de 2026</x:v>
      </x:c>
    </x:row>
    <x:row r="117" ht="24" customHeight="1">
      <x:c r="A117" s="9" t="n">
        <x:v>100</x:v>
      </x:c>
      <x:c r="B117" s="9" t="n">
        <x:v>2</x:v>
      </x:c>
      <x:c r="C117" s="2" t="str">
        <x:v>Colas no calóricos</x:v>
      </x:c>
      <x:c r="D117" s="2" t="str">
        <x:v>CC Light 355 ml</x:v>
      </x:c>
      <x:c r="E117" s="2" t="str">
        <x:v>Coca-Cola Light 355 ml</x:v>
      </x:c>
      <x:c r="F117" s="2" t="str">
        <x:v>Lata</x:v>
      </x:c>
      <x:c r="G117" s="2" t="str">
        <x:v>Lata</x:v>
      </x:c>
      <x:c r="H117" s="9" t="n">
        <x:v>24</x:v>
      </x:c>
      <x:c r="I117" s="7" t="n">
        <x:v>464</x:v>
      </x:c>
      <x:c r="J117" s="7" t="n">
        <x:v>22</x:v>
      </x:c>
      <x:c r="K117" s="7" t="n">
        <x:f>ROUND(ROUND(I117*100,0)/H117,0)/100</x:f>
        <x:v>19.33</x:v>
      </x:c>
      <x:c r="L117" s="7" t="n">
        <x:v>64</x:v>
      </x:c>
      <x:c r="M117" s="12"/>
      <x:c r="N117" s="2" t="str">
        <x:v>Marzo de 2026</x:v>
      </x:c>
    </x:row>
    <x:row r="118" ht="24" customHeight="1">
      <x:c r="A118" s="9" t="n">
        <x:v>101</x:v>
      </x:c>
      <x:c r="B118" s="9" t="n">
        <x:v>2</x:v>
      </x:c>
      <x:c r="C118" s="2" t="str">
        <x:v>Colas no calóricos</x:v>
      </x:c>
      <x:c r="D118" s="2" t="str">
        <x:v>CC Light 600 ml</x:v>
      </x:c>
      <x:c r="E118" s="2" t="str">
        <x:v>Coca-Cola Light 600 ml</x:v>
      </x:c>
      <x:c r="F118" s="2" t="str">
        <x:v>PET no retornable</x:v>
      </x:c>
      <x:c r="G118" s="2" t="str">
        <x:v>Pet NR</x:v>
      </x:c>
      <x:c r="H118" s="9" t="n">
        <x:v>12</x:v>
      </x:c>
      <x:c r="I118" s="7" t="n">
        <x:v>232</x:v>
      </x:c>
      <x:c r="J118" s="7" t="n">
        <x:v>22</x:v>
      </x:c>
      <x:c r="K118" s="7" t="n">
        <x:f>ROUND(ROUND(I118*100,0)/H118,0)/100</x:f>
        <x:v>19.33</x:v>
      </x:c>
      <x:c r="L118" s="7" t="n">
        <x:v>32</x:v>
      </x:c>
      <x:c r="M118" s="12"/>
      <x:c r="N118" s="2" t="str">
        <x:v>Marzo de 2026</x:v>
      </x:c>
    </x:row>
    <x:row r="119" ht="24" customHeight="1">
      <x:c r="A119" s="9" t="n">
        <x:v>102</x:v>
      </x:c>
      <x:c r="B119" s="9" t="n">
        <x:v>2</x:v>
      </x:c>
      <x:c r="C119" s="2" t="str">
        <x:v>Colas no calóricos</x:v>
      </x:c>
      <x:c r="D119" s="2" t="str">
        <x:v>CC Light 2 L</x:v>
      </x:c>
      <x:c r="E119" s="2" t="str">
        <x:v>Coca-Cola Light 2 L</x:v>
      </x:c>
      <x:c r="F119" s="2" t="str">
        <x:v>PET no retornable</x:v>
      </x:c>
      <x:c r="G119" s="2" t="str">
        <x:v>Pet NR</x:v>
      </x:c>
      <x:c r="H119" s="9" t="n">
        <x:v>6</x:v>
      </x:c>
      <x:c r="I119" s="7" t="n">
        <x:v>212</x:v>
      </x:c>
      <x:c r="J119" s="7" t="n">
        <x:v>40</x:v>
      </x:c>
      <x:c r="K119" s="7" t="n">
        <x:f>ROUND(ROUND(I119*100,0)/H119,0)/100</x:f>
        <x:v>35.33</x:v>
      </x:c>
      <x:c r="L119" s="7" t="n">
        <x:v>28</x:v>
      </x:c>
      <x:c r="M119" s="12"/>
      <x:c r="N119" s="2" t="str">
        <x:v>Marzo de 2026</x:v>
      </x:c>
    </x:row>
    <x:row r="120" ht="24" customHeight="1">
      <x:c r="A120" s="9" t="n">
        <x:v>103</x:v>
      </x:c>
      <x:c r="B120" s="9" t="n">
        <x:v>2</x:v>
      </x:c>
      <x:c r="C120" s="2" t="str">
        <x:v>Colas no calóricos</x:v>
      </x:c>
      <x:c r="D120" s="2" t="str">
        <x:v>CC Zero 300 ml</x:v>
      </x:c>
      <x:c r="E120" s="2" t="str">
        <x:v>Coca-Cola Zero 300 ml</x:v>
      </x:c>
      <x:c r="F120" s="2" t="str">
        <x:v>PET no retornable</x:v>
      </x:c>
      <x:c r="G120" s="2" t="str">
        <x:v>Pet NR</x:v>
      </x:c>
      <x:c r="H120" s="9" t="n">
        <x:v>12</x:v>
      </x:c>
      <x:c r="I120" s="7" t="n">
        <x:v>92</x:v>
      </x:c>
      <x:c r="J120" s="7" t="n">
        <x:v>9</x:v>
      </x:c>
      <x:c r="K120" s="7" t="n">
        <x:f>ROUND(ROUND(I120*100,0)/H120,0)/100</x:f>
        <x:v>7.67</x:v>
      </x:c>
      <x:c r="L120" s="7" t="n">
        <x:v>16</x:v>
      </x:c>
      <x:c r="M120" s="12"/>
      <x:c r="N120" s="2" t="str">
        <x:v>Marzo de 2026</x:v>
      </x:c>
    </x:row>
    <x:row r="121" ht="24" customHeight="1">
      <x:c r="A121" s="9" t="n">
        <x:v>104</x:v>
      </x:c>
      <x:c r="B121" s="9" t="n">
        <x:v>2</x:v>
      </x:c>
      <x:c r="C121" s="2" t="str">
        <x:v>Colas no calóricos</x:v>
      </x:c>
      <x:c r="D121" s="2" t="str">
        <x:v>CC Zero 355 ml</x:v>
      </x:c>
      <x:c r="E121" s="2" t="str">
        <x:v>Coca-Cola Zero 355 ml</x:v>
      </x:c>
      <x:c r="F121" s="2" t="str">
        <x:v>Lata</x:v>
      </x:c>
      <x:c r="G121" s="2" t="str">
        <x:v>Lata</x:v>
      </x:c>
      <x:c r="H121" s="9" t="n">
        <x:v>12</x:v>
      </x:c>
      <x:c r="I121" s="7" t="n">
        <x:v>232</x:v>
      </x:c>
      <x:c r="J121" s="7" t="n">
        <x:v>22</x:v>
      </x:c>
      <x:c r="K121" s="7" t="n">
        <x:f>ROUND(ROUND(I121*100,0)/H121,0)/100</x:f>
        <x:v>19.33</x:v>
      </x:c>
      <x:c r="L121" s="7" t="n">
        <x:v>32</x:v>
      </x:c>
      <x:c r="M121" s="12"/>
      <x:c r="N121" s="2" t="str">
        <x:v>Marzo de 2026</x:v>
      </x:c>
    </x:row>
    <x:row r="122" ht="24" customHeight="1">
      <x:c r="A122" s="9" t="n">
        <x:v>105</x:v>
      </x:c>
      <x:c r="B122" s="9" t="n">
        <x:v>2</x:v>
      </x:c>
      <x:c r="C122" s="2" t="str">
        <x:v>Colas no calóricos</x:v>
      </x:c>
      <x:c r="D122" s="2" t="str">
        <x:v>CC Zero 355 ml</x:v>
      </x:c>
      <x:c r="E122" s="2" t="str">
        <x:v>Coca-Cola Zero 355 ml</x:v>
      </x:c>
      <x:c r="F122" s="2" t="str">
        <x:v>PET no retornable</x:v>
      </x:c>
      <x:c r="G122" s="2" t="str">
        <x:v>Pet NR</x:v>
      </x:c>
      <x:c r="H122" s="9" t="n">
        <x:v>12</x:v>
      </x:c>
      <x:c r="I122" s="7" t="n">
        <x:v>137</x:v>
      </x:c>
      <x:c r="J122" s="7" t="n">
        <x:v>13</x:v>
      </x:c>
      <x:c r="K122" s="7" t="n">
        <x:f>ROUND(ROUND(I122*100,0)/H122,0)/100</x:f>
        <x:v>11.42</x:v>
      </x:c>
      <x:c r="L122" s="7" t="n">
        <x:v>19</x:v>
      </x:c>
      <x:c r="M122" s="12"/>
      <x:c r="N122" s="2" t="str">
        <x:v>Marzo de 2026</x:v>
      </x:c>
    </x:row>
    <x:row r="123" ht="24" customHeight="1">
      <x:c r="A123" s="9" t="n">
        <x:v>106</x:v>
      </x:c>
      <x:c r="B123" s="9" t="n">
        <x:v>2</x:v>
      </x:c>
      <x:c r="C123" s="2" t="str">
        <x:v>Colas no calóricos</x:v>
      </x:c>
      <x:c r="D123" s="2" t="str">
        <x:v>CC Zero 600 ml</x:v>
      </x:c>
      <x:c r="E123" s="2" t="str">
        <x:v>Coca-Cola Zero 600 ml</x:v>
      </x:c>
      <x:c r="F123" s="2" t="str">
        <x:v>PET no retornable</x:v>
      </x:c>
      <x:c r="G123" s="2" t="str">
        <x:v>Pet NR</x:v>
      </x:c>
      <x:c r="H123" s="9" t="n">
        <x:v>6</x:v>
      </x:c>
      <x:c r="I123" s="7" t="n">
        <x:v>105.5</x:v>
      </x:c>
      <x:c r="J123" s="7" t="n">
        <x:v>20</x:v>
      </x:c>
      <x:c r="K123" s="7" t="n">
        <x:f>ROUND(ROUND(I123*100,0)/H123,0)/100</x:f>
        <x:v>17.58</x:v>
      </x:c>
      <x:c r="L123" s="7" t="n">
        <x:v>14.5</x:v>
      </x:c>
      <x:c r="M123" s="12"/>
      <x:c r="N123" s="2" t="str">
        <x:v>Marzo de 2026</x:v>
      </x:c>
    </x:row>
    <x:row r="124" ht="24" customHeight="1">
      <x:c r="A124" s="9" t="n">
        <x:v>107</x:v>
      </x:c>
      <x:c r="B124" s="9" t="n">
        <x:v>2</x:v>
      </x:c>
      <x:c r="C124" s="2" t="str">
        <x:v>Colas no calóricos</x:v>
      </x:c>
      <x:c r="D124" s="2" t="str">
        <x:v>CC Zero 1.5 L</x:v>
      </x:c>
      <x:c r="E124" s="2" t="str">
        <x:v>Coca-Cola Zero 1.5 L</x:v>
      </x:c>
      <x:c r="F124" s="2" t="str">
        <x:v>PET no retornable</x:v>
      </x:c>
      <x:c r="G124" s="2" t="str">
        <x:v>Pet NR</x:v>
      </x:c>
      <x:c r="H124" s="9" t="n">
        <x:v>6</x:v>
      </x:c>
      <x:c r="I124" s="7" t="n">
        <x:v>147</x:v>
      </x:c>
      <x:c r="J124" s="7" t="n">
        <x:v>28</x:v>
      </x:c>
      <x:c r="K124" s="7" t="n">
        <x:f>ROUND(ROUND(I124*100,0)/H124,0)/100</x:f>
        <x:v>24.5</x:v>
      </x:c>
      <x:c r="L124" s="7" t="n">
        <x:v>21</x:v>
      </x:c>
      <x:c r="M124" s="12"/>
      <x:c r="N124" s="2" t="str">
        <x:v>Marzo de 2026</x:v>
      </x:c>
    </x:row>
    <x:row r="125" ht="24" customHeight="1">
      <x:c r="A125" s="9" t="n">
        <x:v>108</x:v>
      </x:c>
      <x:c r="B125" s="9" t="n">
        <x:v>2</x:v>
      </x:c>
      <x:c r="C125" s="2" t="str">
        <x:v>Colas no calóricos</x:v>
      </x:c>
      <x:c r="D125" s="2" t="str">
        <x:v>CC Zero 2 L</x:v>
      </x:c>
      <x:c r="E125" s="2" t="str">
        <x:v>Coca-Cola Zero 2 L</x:v>
      </x:c>
      <x:c r="F125" s="2" t="str">
        <x:v>PET no retornable</x:v>
      </x:c>
      <x:c r="G125" s="2" t="str">
        <x:v>Pet NR</x:v>
      </x:c>
      <x:c r="H125" s="9" t="n">
        <x:v>4</x:v>
      </x:c>
      <x:c r="I125" s="7" t="n">
        <x:v>134</x:v>
      </x:c>
      <x:c r="J125" s="7" t="n">
        <x:v>38</x:v>
      </x:c>
      <x:c r="K125" s="7" t="n">
        <x:f>ROUND(ROUND(I125*100,0)/H125,0)/100</x:f>
        <x:v>33.5</x:v>
      </x:c>
      <x:c r="L125" s="7" t="n">
        <x:v>18</x:v>
      </x:c>
      <x:c r="M125" s="12"/>
      <x:c r="N125" s="2" t="str">
        <x:v>Marzo de 2026</x:v>
      </x:c>
    </x:row>
    <x:row r="126" ht="44" customHeight="1">
      <x:c r="A126" s="9" t="n">
        <x:v>109</x:v>
      </x:c>
      <x:c r="B126" s="9" t="n">
        <x:v>2</x:v>
      </x:c>
      <x:c r="C126" s="2" t="str">
        <x:v>Sabores retornables</x:v>
      </x:c>
      <x:c r="D126" s="2" t="str">
        <x:v>Sabores 500 ml</x:v>
      </x:c>
      <x:c r="E126" s="2" t="str">
        <x:v>Refrescos de Sabores 500 ml</x:v>
      </x:c>
      <x:c r="F126" s="2" t="str">
        <x:v>Vidrio retornable</x:v>
      </x:c>
      <x:c r="G126" s="2" t="str">
        <x:v>Vidrio Ret</x:v>
      </x:c>
      <x:c r="H126" s="9" t="n">
        <x:v>24</x:v>
      </x:c>
      <x:c r="I126" s="7" t="n">
        <x:v>265</x:v>
      </x:c>
      <x:c r="J126" s="7" t="n">
        <x:v>13</x:v>
      </x:c>
      <x:c r="K126" s="7" t="n">
        <x:f>ROUND(ROUND(I126*100,0)/H126,0)/100</x:f>
        <x:v>11.04</x:v>
      </x:c>
      <x:c r="L126" s="7" t="n">
        <x:v>47</x:v>
      </x:c>
      <x:c r="M126" s="12" t="str">
        <x:v>La lista agrupa sabores y marcas; no especifica cada sabor. Entrada genérica por presentación.</x:v>
      </x:c>
      <x:c r="N126" s="2" t="str">
        <x:v>Marzo de 2026</x:v>
      </x:c>
    </x:row>
    <x:row r="127" ht="44" customHeight="1">
      <x:c r="A127" s="9" t="n">
        <x:v>110</x:v>
      </x:c>
      <x:c r="B127" s="9" t="n">
        <x:v>2</x:v>
      </x:c>
      <x:c r="C127" s="2" t="str">
        <x:v>Sabores retornables</x:v>
      </x:c>
      <x:c r="D127" s="2" t="str">
        <x:v>Sabores + VF + CCZ 2.5 L</x:v>
      </x:c>
      <x:c r="E127" s="2" t="str">
        <x:v>Refrescos Sabores / VF / CCZ 2.5 L</x:v>
      </x:c>
      <x:c r="F127" s="2" t="str">
        <x:v>PET retornable</x:v>
      </x:c>
      <x:c r="G127" s="2" t="str">
        <x:v>Pet Ret</x:v>
      </x:c>
      <x:c r="H127" s="9" t="n">
        <x:v>8</x:v>
      </x:c>
      <x:c r="I127" s="7" t="n">
        <x:v>189</x:v>
      </x:c>
      <x:c r="J127" s="7" t="n">
        <x:v>27</x:v>
      </x:c>
      <x:c r="K127" s="7" t="n">
        <x:f>ROUND(ROUND(I127*100,0)/H127,0)/100</x:f>
        <x:v>23.63</x:v>
      </x:c>
      <x:c r="L127" s="7" t="n">
        <x:v>27</x:v>
      </x:c>
      <x:c r="M127" s="12" t="str">
        <x:v>Se conserva la agrupación y las siglas de la lista; no se inventan marcas o sabores.</x:v>
      </x:c>
      <x:c r="N127" s="2" t="str">
        <x:v>Marzo de 2026</x:v>
      </x:c>
    </x:row>
    <x:row r="128" ht="44" customHeight="1">
      <x:c r="A128" s="9" t="n">
        <x:v>111</x:v>
      </x:c>
      <x:c r="B128" s="9" t="n">
        <x:v>2</x:v>
      </x:c>
      <x:c r="C128" s="2" t="str">
        <x:v>Sabores no retornables</x:v>
      </x:c>
      <x:c r="D128" s="2" t="str">
        <x:v>Sabores 300 ml</x:v>
      </x:c>
      <x:c r="E128" s="2" t="str">
        <x:v>Refrescos de Sabores 300 ml</x:v>
      </x:c>
      <x:c r="F128" s="2" t="str">
        <x:v>PET no retornable</x:v>
      </x:c>
      <x:c r="G128" s="2" t="str">
        <x:v>Pet NR</x:v>
      </x:c>
      <x:c r="H128" s="9" t="n">
        <x:v>6</x:v>
      </x:c>
      <x:c r="I128" s="7" t="n">
        <x:v>46</x:v>
      </x:c>
      <x:c r="J128" s="7" t="n">
        <x:v>9</x:v>
      </x:c>
      <x:c r="K128" s="7" t="n">
        <x:f>ROUND(ROUND(I128*100,0)/H128,0)/100</x:f>
        <x:v>7.67</x:v>
      </x:c>
      <x:c r="L128" s="7" t="n">
        <x:v>8</x:v>
      </x:c>
      <x:c r="M128" s="12" t="str">
        <x:v>Entrada genérica: marcas y sabores individuales no enumerados.</x:v>
      </x:c>
      <x:c r="N128" s="2" t="str">
        <x:v>Marzo de 2026</x:v>
      </x:c>
    </x:row>
    <x:row r="129" ht="44" customHeight="1">
      <x:c r="A129" s="9" t="n">
        <x:v>112</x:v>
      </x:c>
      <x:c r="B129" s="9" t="n">
        <x:v>2</x:v>
      </x:c>
      <x:c r="C129" s="2" t="str">
        <x:v>Sabores no retornables</x:v>
      </x:c>
      <x:c r="D129" s="2" t="str">
        <x:v>Sabores Sin Azúcar 300 ml</x:v>
      </x:c>
      <x:c r="E129" s="2" t="str">
        <x:v>Refrescos de Sabores Sin Azúcar 300 ml</x:v>
      </x:c>
      <x:c r="F129" s="2" t="str">
        <x:v>PET no retornable</x:v>
      </x:c>
      <x:c r="G129" s="2" t="str">
        <x:v>Pet NR</x:v>
      </x:c>
      <x:c r="H129" s="9" t="n">
        <x:v>6</x:v>
      </x:c>
      <x:c r="I129" s="7" t="n">
        <x:v>46</x:v>
      </x:c>
      <x:c r="J129" s="7" t="n">
        <x:v>9</x:v>
      </x:c>
      <x:c r="K129" s="7" t="n">
        <x:f>ROUND(ROUND(I129*100,0)/H129,0)/100</x:f>
        <x:v>7.67</x:v>
      </x:c>
      <x:c r="L129" s="7" t="n">
        <x:v>8</x:v>
      </x:c>
      <x:c r="M129" s="12" t="str">
        <x:v>Entrada genérica: marcas y sabores individuales no enumerados.</x:v>
      </x:c>
      <x:c r="N129" s="2" t="str">
        <x:v>Marzo de 2026</x:v>
      </x:c>
    </x:row>
    <x:row r="130" ht="44" customHeight="1">
      <x:c r="A130" s="9" t="n">
        <x:v>113</x:v>
      </x:c>
      <x:c r="B130" s="9" t="n">
        <x:v>2</x:v>
      </x:c>
      <x:c r="C130" s="2" t="str">
        <x:v>Sabores no retornables</x:v>
      </x:c>
      <x:c r="D130" s="2" t="str">
        <x:v>Sabores 355 ml</x:v>
      </x:c>
      <x:c r="E130" s="2" t="str">
        <x:v>Refrescos de Sabores 355 ml</x:v>
      </x:c>
      <x:c r="F130" s="2" t="str">
        <x:v>Lata</x:v>
      </x:c>
      <x:c r="G130" s="2" t="str">
        <x:v>Lata</x:v>
      </x:c>
      <x:c r="H130" s="9" t="n">
        <x:v>6</x:v>
      </x:c>
      <x:c r="I130" s="7" t="n">
        <x:v>114</x:v>
      </x:c>
      <x:c r="J130" s="7" t="n">
        <x:v>22</x:v>
      </x:c>
      <x:c r="K130" s="7" t="n">
        <x:f>ROUND(ROUND(I130*100,0)/H130,0)/100</x:f>
        <x:v>19</x:v>
      </x:c>
      <x:c r="L130" s="7" t="n">
        <x:v>18</x:v>
      </x:c>
      <x:c r="M130" s="12" t="str">
        <x:v>Entrada genérica: marcas y sabores individuales no enumerados.</x:v>
      </x:c>
      <x:c r="N130" s="2" t="str">
        <x:v>Marzo de 2026</x:v>
      </x:c>
    </x:row>
    <x:row r="131" ht="44" customHeight="1">
      <x:c r="A131" s="9" t="n">
        <x:v>114</x:v>
      </x:c>
      <x:c r="B131" s="9" t="n">
        <x:v>2</x:v>
      </x:c>
      <x:c r="C131" s="2" t="str">
        <x:v>Sabores no retornables</x:v>
      </x:c>
      <x:c r="D131" s="2" t="str">
        <x:v>Sab + Delaware + VF 600 ml</x:v>
      </x:c>
      <x:c r="E131" s="2" t="str">
        <x:v>Refrescos Sabores / Delaware / VF 600 ml</x:v>
      </x:c>
      <x:c r="F131" s="2" t="str">
        <x:v>PET no retornable</x:v>
      </x:c>
      <x:c r="G131" s="2" t="str">
        <x:v>Pet NR</x:v>
      </x:c>
      <x:c r="H131" s="9" t="n">
        <x:v>12</x:v>
      </x:c>
      <x:c r="I131" s="7" t="n">
        <x:v>202</x:v>
      </x:c>
      <x:c r="J131" s="7" t="n">
        <x:v>20</x:v>
      </x:c>
      <x:c r="K131" s="7" t="n">
        <x:f>ROUND(ROUND(I131*100,0)/H131,0)/100</x:f>
        <x:v>16.83</x:v>
      </x:c>
      <x:c r="L131" s="7" t="n">
        <x:v>38</x:v>
      </x:c>
      <x:c r="M131" s="12" t="str">
        <x:v>La lista agrupa Sab + Delaware + VF; no enumera los sabores.</x:v>
      </x:c>
      <x:c r="N131" s="2" t="str">
        <x:v>Marzo de 2026</x:v>
      </x:c>
    </x:row>
    <x:row r="132" ht="44" customHeight="1">
      <x:c r="A132" s="9" t="n">
        <x:v>115</x:v>
      </x:c>
      <x:c r="B132" s="9" t="n">
        <x:v>2</x:v>
      </x:c>
      <x:c r="C132" s="2" t="str">
        <x:v>Sabores no retornables</x:v>
      </x:c>
      <x:c r="D132" s="2" t="str">
        <x:v>Sabores 2 L</x:v>
      </x:c>
      <x:c r="E132" s="2" t="str">
        <x:v>Refrescos de Sabores 2 L</x:v>
      </x:c>
      <x:c r="F132" s="2" t="str">
        <x:v>PET no retornable</x:v>
      </x:c>
      <x:c r="G132" s="2" t="str">
        <x:v>Pet NR</x:v>
      </x:c>
      <x:c r="H132" s="9" t="n">
        <x:v>4</x:v>
      </x:c>
      <x:c r="I132" s="7" t="n">
        <x:v>104</x:v>
      </x:c>
      <x:c r="J132" s="7" t="n">
        <x:v>30</x:v>
      </x:c>
      <x:c r="K132" s="7" t="n">
        <x:f>ROUND(ROUND(I132*100,0)/H132,0)/100</x:f>
        <x:v>26</x:v>
      </x:c>
      <x:c r="L132" s="7" t="n">
        <x:v>16</x:v>
      </x:c>
      <x:c r="M132" s="12" t="str">
        <x:v>Entrada genérica: marcas y sabores individuales no enumerados.</x:v>
      </x:c>
      <x:c r="N132" s="2" t="str">
        <x:v>Marzo de 2026</x:v>
      </x:c>
    </x:row>
    <x:row r="133" ht="44" customHeight="1">
      <x:c r="A133" s="9" t="n">
        <x:v>116</x:v>
      </x:c>
      <x:c r="B133" s="9" t="n">
        <x:v>2</x:v>
      </x:c>
      <x:c r="C133" s="2" t="str">
        <x:v>Sabores no retornables</x:v>
      </x:c>
      <x:c r="D133" s="2" t="str">
        <x:v>Sabores 3 L</x:v>
      </x:c>
      <x:c r="E133" s="2" t="str">
        <x:v>Refrescos de Sabores 3 L</x:v>
      </x:c>
      <x:c r="F133" s="2" t="str">
        <x:v>PET no retornable</x:v>
      </x:c>
      <x:c r="G133" s="2" t="str">
        <x:v>Pet NR</x:v>
      </x:c>
      <x:c r="H133" s="9" t="n">
        <x:v>4</x:v>
      </x:c>
      <x:c r="I133" s="7" t="n">
        <x:v>138</x:v>
      </x:c>
      <x:c r="J133" s="7" t="n">
        <x:v>40</x:v>
      </x:c>
      <x:c r="K133" s="7" t="n">
        <x:f>ROUND(ROUND(I133*100,0)/H133,0)/100</x:f>
        <x:v>34.5</x:v>
      </x:c>
      <x:c r="L133" s="7" t="n">
        <x:v>22</x:v>
      </x:c>
      <x:c r="M133" s="12" t="str">
        <x:v>Entrada genérica: marcas y sabores individuales no enumerados.</x:v>
      </x:c>
      <x:c r="N133" s="2" t="str">
        <x:v>Marzo de 2026</x:v>
      </x:c>
    </x:row>
    <x:row r="134" ht="24" customHeight="1">
      <x:c r="A134" s="9" t="n">
        <x:v>117</x:v>
      </x:c>
      <x:c r="B134" s="9" t="n">
        <x:v>2</x:v>
      </x:c>
      <x:c r="C134" s="2" t="str">
        <x:v>Agua purificada</x:v>
      </x:c>
      <x:c r="D134" s="2" t="str">
        <x:v>Ciel Purificada 355 ml</x:v>
      </x:c>
      <x:c r="E134" s="2" t="str">
        <x:v>Ciel Purificada 355 ml</x:v>
      </x:c>
      <x:c r="F134" s="2"/>
      <x:c r="G134" s="2" t="str">
        <x:v>Pet NR</x:v>
      </x:c>
      <x:c r="H134" s="9" t="n">
        <x:v>24</x:v>
      </x:c>
      <x:c r="I134" s="7" t="n">
        <x:v>156</x:v>
      </x:c>
      <x:c r="J134" s="7" t="n">
        <x:v>8</x:v>
      </x:c>
      <x:c r="K134" s="7" t="n">
        <x:f>ROUND(ROUND(I134*100,0)/H134,0)/100</x:f>
        <x:v>6.5</x:v>
      </x:c>
      <x:c r="L134" s="7" t="n">
        <x:v>36</x:v>
      </x:c>
      <x:c r="M134" s="12"/>
      <x:c r="N134" s="2" t="str">
        <x:v>Marzo de 2026</x:v>
      </x:c>
    </x:row>
    <x:row r="135" ht="24" customHeight="1">
      <x:c r="A135" s="9" t="n">
        <x:v>118</x:v>
      </x:c>
      <x:c r="B135" s="9" t="n">
        <x:v>2</x:v>
      </x:c>
      <x:c r="C135" s="2" t="str">
        <x:v>Agua purificada</x:v>
      </x:c>
      <x:c r="D135" s="2" t="str">
        <x:v>Ciel Purificada 600 ml</x:v>
      </x:c>
      <x:c r="E135" s="2" t="str">
        <x:v>Ciel Purificada 600 ml</x:v>
      </x:c>
      <x:c r="F135" s="2"/>
      <x:c r="G135" s="2" t="str">
        <x:v>Pet NR</x:v>
      </x:c>
      <x:c r="H135" s="9" t="n">
        <x:v>24</x:v>
      </x:c>
      <x:c r="I135" s="7" t="n">
        <x:v>240</x:v>
      </x:c>
      <x:c r="J135" s="7" t="n">
        <x:v>12</x:v>
      </x:c>
      <x:c r="K135" s="7" t="n">
        <x:f>ROUND(ROUND(I135*100,0)/H135,0)/100</x:f>
        <x:v>10</x:v>
      </x:c>
      <x:c r="L135" s="7" t="n">
        <x:v>48</x:v>
      </x:c>
      <x:c r="M135" s="12"/>
      <x:c r="N135" s="2" t="str">
        <x:v>Marzo de 2026</x:v>
      </x:c>
    </x:row>
    <x:row r="136" ht="24" customHeight="1">
      <x:c r="A136" s="9" t="n">
        <x:v>119</x:v>
      </x:c>
      <x:c r="B136" s="9" t="n">
        <x:v>2</x:v>
      </x:c>
      <x:c r="C136" s="2" t="str">
        <x:v>Agua purificada</x:v>
      </x:c>
      <x:c r="D136" s="2" t="str">
        <x:v>Ciel Purificada 1 L</x:v>
      </x:c>
      <x:c r="E136" s="2" t="str">
        <x:v>Ciel Purificada 1 L</x:v>
      </x:c>
      <x:c r="F136" s="2"/>
      <x:c r="G136" s="2" t="str">
        <x:v>Pet NR</x:v>
      </x:c>
      <x:c r="H136" s="9" t="n">
        <x:v>12</x:v>
      </x:c>
      <x:c r="I136" s="7" t="n">
        <x:v>140</x:v>
      </x:c>
      <x:c r="J136" s="7" t="n">
        <x:v>14</x:v>
      </x:c>
      <x:c r="K136" s="7" t="n">
        <x:f>ROUND(ROUND(I136*100,0)/H136,0)/100</x:f>
        <x:v>11.67</x:v>
      </x:c>
      <x:c r="L136" s="7" t="n">
        <x:v>28</x:v>
      </x:c>
      <x:c r="M136" s="12"/>
      <x:c r="N136" s="2" t="str">
        <x:v>Marzo de 2026</x:v>
      </x:c>
    </x:row>
    <x:row r="137" ht="24" customHeight="1">
      <x:c r="A137" s="9" t="n">
        <x:v>120</x:v>
      </x:c>
      <x:c r="B137" s="9" t="n">
        <x:v>2</x:v>
      </x:c>
      <x:c r="C137" s="2" t="str">
        <x:v>Agua purificada</x:v>
      </x:c>
      <x:c r="D137" s="2" t="str">
        <x:v>Ciel Purificada 1.5 L</x:v>
      </x:c>
      <x:c r="E137" s="2" t="str">
        <x:v>Ciel Purificada 1.5 L</x:v>
      </x:c>
      <x:c r="F137" s="2"/>
      <x:c r="G137" s="2" t="str">
        <x:v>Pet NR</x:v>
      </x:c>
      <x:c r="H137" s="9" t="n">
        <x:v>12</x:v>
      </x:c>
      <x:c r="I137" s="7" t="n">
        <x:v>171</x:v>
      </x:c>
      <x:c r="J137" s="7" t="n">
        <x:v>17</x:v>
      </x:c>
      <x:c r="K137" s="7" t="n">
        <x:f>ROUND(ROUND(I137*100,0)/H137,0)/100</x:f>
        <x:v>14.25</x:v>
      </x:c>
      <x:c r="L137" s="7" t="n">
        <x:v>33</x:v>
      </x:c>
      <x:c r="M137" s="12"/>
      <x:c r="N137" s="2" t="str">
        <x:v>Marzo de 2026</x:v>
      </x:c>
    </x:row>
    <x:row r="138" ht="24" customHeight="1">
      <x:c r="A138" s="9" t="n">
        <x:v>121</x:v>
      </x:c>
      <x:c r="B138" s="9" t="n">
        <x:v>2</x:v>
      </x:c>
      <x:c r="C138" s="2" t="str">
        <x:v>Agua purificada</x:v>
      </x:c>
      <x:c r="D138" s="2" t="str">
        <x:v>Ciel Purificada 5 L</x:v>
      </x:c>
      <x:c r="E138" s="2" t="str">
        <x:v>Ciel Purificada 5 L</x:v>
      </x:c>
      <x:c r="F138" s="2"/>
      <x:c r="G138" s="2" t="str">
        <x:v>Pet NR</x:v>
      </x:c>
      <x:c r="H138" s="9" t="n">
        <x:v>4</x:v>
      </x:c>
      <x:c r="I138" s="7" t="n">
        <x:v>133</x:v>
      </x:c>
      <x:c r="J138" s="7" t="n">
        <x:v>38</x:v>
      </x:c>
      <x:c r="K138" s="7" t="n">
        <x:f>ROUND(ROUND(I138*100,0)/H138,0)/100</x:f>
        <x:v>33.25</x:v>
      </x:c>
      <x:c r="L138" s="7" t="n">
        <x:v>19</x:v>
      </x:c>
      <x:c r="M138" s="12"/>
      <x:c r="N138" s="2" t="str">
        <x:v>Marzo de 2026</x:v>
      </x:c>
    </x:row>
    <x:row r="139" ht="24" customHeight="1">
      <x:c r="A139" s="9" t="n">
        <x:v>122</x:v>
      </x:c>
      <x:c r="B139" s="9" t="n">
        <x:v>2</x:v>
      </x:c>
      <x:c r="C139" s="2" t="str">
        <x:v>Agua purificada</x:v>
      </x:c>
      <x:c r="D139" s="2" t="str">
        <x:v>Ciel Exprim 0% Azúcar 1 L</x:v>
      </x:c>
      <x:c r="E139" s="2" t="str">
        <x:v>Ciel Exprim 0% Azúcar 1 L</x:v>
      </x:c>
      <x:c r="F139" s="2"/>
      <x:c r="G139" s="2" t="str">
        <x:v>Pet NR</x:v>
      </x:c>
      <x:c r="H139" s="9" t="n">
        <x:v>6</x:v>
      </x:c>
      <x:c r="I139" s="7" t="n">
        <x:v>84</x:v>
      </x:c>
      <x:c r="J139" s="7" t="n">
        <x:v>17</x:v>
      </x:c>
      <x:c r="K139" s="7" t="n">
        <x:f>ROUND(ROUND(I139*100,0)/H139,0)/100</x:f>
        <x:v>14</x:v>
      </x:c>
      <x:c r="L139" s="7" t="n">
        <x:v>18</x:v>
      </x:c>
      <x:c r="M139" s="12"/>
      <x:c r="N139" s="2" t="str">
        <x:v>Marzo de 2026</x:v>
      </x:c>
    </x:row>
    <x:row r="140" ht="24" customHeight="1">
      <x:c r="A140" s="9" t="n">
        <x:v>123</x:v>
      </x:c>
      <x:c r="B140" s="9" t="n">
        <x:v>2</x:v>
      </x:c>
      <x:c r="C140" s="2" t="str">
        <x:v>Agua mineralizada</x:v>
      </x:c>
      <x:c r="D140" s="2" t="str">
        <x:v>Ciel Mineralizada 355 ml</x:v>
      </x:c>
      <x:c r="E140" s="2" t="str">
        <x:v>Ciel Mineralizada 355 ml</x:v>
      </x:c>
      <x:c r="F140" s="2"/>
      <x:c r="G140" s="2" t="str">
        <x:v>Lata</x:v>
      </x:c>
      <x:c r="H140" s="9" t="n">
        <x:v>6</x:v>
      </x:c>
      <x:c r="I140" s="7" t="n">
        <x:v>114</x:v>
      </x:c>
      <x:c r="J140" s="7" t="n">
        <x:v>22</x:v>
      </x:c>
      <x:c r="K140" s="7" t="n">
        <x:f>ROUND(ROUND(I140*100,0)/H140,0)/100</x:f>
        <x:v>19</x:v>
      </x:c>
      <x:c r="L140" s="7" t="n">
        <x:v>18</x:v>
      </x:c>
      <x:c r="M140" s="12"/>
      <x:c r="N140" s="2" t="str">
        <x:v>Marzo de 2026</x:v>
      </x:c>
    </x:row>
    <x:row r="141" ht="24" customHeight="1">
      <x:c r="A141" s="9" t="n">
        <x:v>124</x:v>
      </x:c>
      <x:c r="B141" s="9" t="n">
        <x:v>2</x:v>
      </x:c>
      <x:c r="C141" s="2" t="str">
        <x:v>Agua mineralizada</x:v>
      </x:c>
      <x:c r="D141" s="2" t="str">
        <x:v>Ciel Mineralizada 600 ml</x:v>
      </x:c>
      <x:c r="E141" s="2" t="str">
        <x:v>Ciel Mineralizada 600 ml</x:v>
      </x:c>
      <x:c r="F141" s="2"/>
      <x:c r="G141" s="2" t="str">
        <x:v>Pet NR</x:v>
      </x:c>
      <x:c r="H141" s="9" t="n">
        <x:v>12</x:v>
      </x:c>
      <x:c r="I141" s="7" t="n">
        <x:v>180</x:v>
      </x:c>
      <x:c r="J141" s="7" t="n">
        <x:v>19</x:v>
      </x:c>
      <x:c r="K141" s="7" t="n">
        <x:f>ROUND(ROUND(I141*100,0)/H141,0)/100</x:f>
        <x:v>15</x:v>
      </x:c>
      <x:c r="L141" s="7" t="n">
        <x:v>48</x:v>
      </x:c>
      <x:c r="M141" s="12"/>
      <x:c r="N141" s="2" t="str">
        <x:v>Marzo de 2026</x:v>
      </x:c>
    </x:row>
    <x:row r="142" ht="24" customHeight="1">
      <x:c r="A142" s="9" t="n">
        <x:v>125</x:v>
      </x:c>
      <x:c r="B142" s="9" t="n">
        <x:v>2</x:v>
      </x:c>
      <x:c r="C142" s="2" t="str">
        <x:v>Agua mineralizada</x:v>
      </x:c>
      <x:c r="D142" s="2" t="str">
        <x:v>Ciel Mineralizada 2 L</x:v>
      </x:c>
      <x:c r="E142" s="2" t="str">
        <x:v>Ciel Mineralizada 2 L</x:v>
      </x:c>
      <x:c r="F142" s="2"/>
      <x:c r="G142" s="2" t="str">
        <x:v>Pet NR</x:v>
      </x:c>
      <x:c r="H142" s="9" t="n">
        <x:v>4</x:v>
      </x:c>
      <x:c r="I142" s="7" t="n">
        <x:v>97</x:v>
      </x:c>
      <x:c r="J142" s="7" t="n">
        <x:v>28</x:v>
      </x:c>
      <x:c r="K142" s="7" t="n">
        <x:f>ROUND(ROUND(I142*100,0)/H142,0)/100</x:f>
        <x:v>24.25</x:v>
      </x:c>
      <x:c r="L142" s="7" t="n">
        <x:v>15</x:v>
      </x:c>
      <x:c r="M142" s="12"/>
      <x:c r="N142" s="2" t="str">
        <x:v>Marzo de 2026</x:v>
      </x:c>
    </x:row>
    <x:row r="143" ht="24" customHeight="1">
      <x:c r="A143" s="9" t="n">
        <x:v>126</x:v>
      </x:c>
      <x:c r="B143" s="9" t="n">
        <x:v>2</x:v>
      </x:c>
      <x:c r="C143" s="2" t="str">
        <x:v>Agua mineralizada</x:v>
      </x:c>
      <x:c r="D143" s="2" t="str">
        <x:v>Topo Chico 600 ml</x:v>
      </x:c>
      <x:c r="E143" s="2" t="str">
        <x:v>Topo Chico 600 ml</x:v>
      </x:c>
      <x:c r="F143" s="2"/>
      <x:c r="G143" s="2" t="str">
        <x:v>Pet NR</x:v>
      </x:c>
      <x:c r="H143" s="9" t="n">
        <x:v>12</x:v>
      </x:c>
      <x:c r="I143" s="7" t="n">
        <x:v>216</x:v>
      </x:c>
      <x:c r="J143" s="7" t="n">
        <x:v>21</x:v>
      </x:c>
      <x:c r="K143" s="7" t="n">
        <x:f>ROUND(ROUND(I143*100,0)/H143,0)/100</x:f>
        <x:v>18</x:v>
      </x:c>
      <x:c r="L143" s="7" t="n">
        <x:v>36</x:v>
      </x:c>
      <x:c r="M143" s="12"/>
      <x:c r="N143" s="2" t="str">
        <x:v>Marzo de 2026</x:v>
      </x:c>
    </x:row>
    <x:row r="144" ht="24" customHeight="1">
      <x:c r="A144" s="9" t="n">
        <x:v>127</x:v>
      </x:c>
      <x:c r="B144" s="9" t="n">
        <x:v>2</x:v>
      </x:c>
      <x:c r="C144" s="2" t="str">
        <x:v>Agua mineralizada</x:v>
      </x:c>
      <x:c r="D144" s="2" t="str">
        <x:v>Topo Chico Twist 600 ml</x:v>
      </x:c>
      <x:c r="E144" s="2" t="str">
        <x:v>Topo Chico Twist 600 ml</x:v>
      </x:c>
      <x:c r="F144" s="2"/>
      <x:c r="G144" s="2" t="str">
        <x:v>Pet NR</x:v>
      </x:c>
      <x:c r="H144" s="9" t="n">
        <x:v>6</x:v>
      </x:c>
      <x:c r="I144" s="7" t="n">
        <x:v>113</x:v>
      </x:c>
      <x:c r="J144" s="7" t="n">
        <x:v>22</x:v>
      </x:c>
      <x:c r="K144" s="7" t="n">
        <x:f>ROUND(ROUND(I144*100,0)/H144,0)/100</x:f>
        <x:v>18.83</x:v>
      </x:c>
      <x:c r="L144" s="7" t="n">
        <x:v>19</x:v>
      </x:c>
      <x:c r="M144" s="12"/>
      <x:c r="N144" s="2" t="str">
        <x:v>Marzo de 2026</x:v>
      </x:c>
    </x:row>
    <x:row r="145" ht="24" customHeight="1">
      <x:c r="A145" s="9" t="n">
        <x:v>128</x:v>
      </x:c>
      <x:c r="B145" s="9" t="n">
        <x:v>2</x:v>
      </x:c>
      <x:c r="C145" s="2" t="str">
        <x:v>Agua mineralizada</x:v>
      </x:c>
      <x:c r="D145" s="2" t="str">
        <x:v>Topo Chico 1.5 L</x:v>
      </x:c>
      <x:c r="E145" s="2" t="str">
        <x:v>Topo Chico 1.5 L</x:v>
      </x:c>
      <x:c r="F145" s="2"/>
      <x:c r="G145" s="2" t="str">
        <x:v>Pet NR</x:v>
      </x:c>
      <x:c r="H145" s="9" t="n">
        <x:v>6</x:v>
      </x:c>
      <x:c r="I145" s="7" t="n">
        <x:v>149</x:v>
      </x:c>
      <x:c r="J145" s="7" t="n">
        <x:v>29</x:v>
      </x:c>
      <x:c r="K145" s="7" t="n">
        <x:f>ROUND(ROUND(I145*100,0)/H145,0)/100</x:f>
        <x:v>24.83</x:v>
      </x:c>
      <x:c r="L145" s="7" t="n">
        <x:v>25</x:v>
      </x:c>
      <x:c r="M145" s="12"/>
      <x:c r="N145" s="2" t="str">
        <x:v>Marzo de 2026</x:v>
      </x:c>
    </x:row>
    <x:row r="146" ht="24" customHeight="1">
      <x:c r="A146" s="9" t="n">
        <x:v>129</x:v>
      </x:c>
      <x:c r="B146" s="9" t="n">
        <x:v>2</x:v>
      </x:c>
      <x:c r="C146" s="2" t="str">
        <x:v>Bebidas no carbonatadas</x:v>
      </x:c>
      <x:c r="D146" s="2" t="str">
        <x:v>FUZE TEA 600 ml</x:v>
      </x:c>
      <x:c r="E146" s="2" t="str">
        <x:v>Fuze Tea 600 ml</x:v>
      </x:c>
      <x:c r="F146" s="2"/>
      <x:c r="G146" s="2" t="str">
        <x:v>Pet NR</x:v>
      </x:c>
      <x:c r="H146" s="9" t="n">
        <x:v>6</x:v>
      </x:c>
      <x:c r="I146" s="7" t="n">
        <x:v>115</x:v>
      </x:c>
      <x:c r="J146" s="7" t="n">
        <x:v>23</x:v>
      </x:c>
      <x:c r="K146" s="7" t="n">
        <x:f>ROUND(ROUND(I146*100,0)/H146,0)/100</x:f>
        <x:v>19.17</x:v>
      </x:c>
      <x:c r="L146" s="7" t="n">
        <x:v>23</x:v>
      </x:c>
      <x:c r="M146" s="12"/>
      <x:c r="N146" s="2" t="str">
        <x:v>Marzo de 2026</x:v>
      </x:c>
    </x:row>
    <x:row r="147" ht="24" customHeight="1">
      <x:c r="A147" s="9" t="n">
        <x:v>130</x:v>
      </x:c>
      <x:c r="B147" s="9" t="n">
        <x:v>2</x:v>
      </x:c>
      <x:c r="C147" s="2" t="str">
        <x:v>Bebidas no carbonatadas</x:v>
      </x:c>
      <x:c r="D147" s="2" t="str">
        <x:v>PowerADE 1 L</x:v>
      </x:c>
      <x:c r="E147" s="2" t="str">
        <x:v>Powerade 1 L</x:v>
      </x:c>
      <x:c r="F147" s="2"/>
      <x:c r="G147" s="2" t="str">
        <x:v>Pet NR</x:v>
      </x:c>
      <x:c r="H147" s="9" t="n">
        <x:v>6</x:v>
      </x:c>
      <x:c r="I147" s="7" t="n">
        <x:v>173</x:v>
      </x:c>
      <x:c r="J147" s="7" t="n">
        <x:v>34</x:v>
      </x:c>
      <x:c r="K147" s="7" t="n">
        <x:f>ROUND(ROUND(I147*100,0)/H147,0)/100</x:f>
        <x:v>28.83</x:v>
      </x:c>
      <x:c r="L147" s="7" t="n">
        <x:v>31</x:v>
      </x:c>
      <x:c r="M147" s="12"/>
      <x:c r="N147" s="2" t="str">
        <x:v>Marzo de 2026</x:v>
      </x:c>
    </x:row>
    <x:row r="148" ht="24" customHeight="1">
      <x:c r="A148" s="9" t="n">
        <x:v>131</x:v>
      </x:c>
      <x:c r="B148" s="9" t="n">
        <x:v>2</x:v>
      </x:c>
      <x:c r="C148" s="2" t="str">
        <x:v>Bebidas no carbonatadas</x:v>
      </x:c>
      <x:c r="D148" s="2" t="str">
        <x:v>PowerADE 500 ml</x:v>
      </x:c>
      <x:c r="E148" s="2" t="str">
        <x:v>Powerade 500 ml</x:v>
      </x:c>
      <x:c r="F148" s="2"/>
      <x:c r="G148" s="2" t="str">
        <x:v>Pet NR</x:v>
      </x:c>
      <x:c r="H148" s="9" t="n">
        <x:v>6</x:v>
      </x:c>
      <x:c r="I148" s="7" t="n">
        <x:v>119</x:v>
      </x:c>
      <x:c r="J148" s="7" t="n">
        <x:v>24</x:v>
      </x:c>
      <x:c r="K148" s="7" t="n">
        <x:f>ROUND(ROUND(I148*100,0)/H148,0)/100</x:f>
        <x:v>19.83</x:v>
      </x:c>
      <x:c r="L148" s="7" t="n">
        <x:v>25</x:v>
      </x:c>
      <x:c r="M148" s="12"/>
      <x:c r="N148" s="2" t="str">
        <x:v>Marzo de 2026</x:v>
      </x:c>
    </x:row>
    <x:row r="149" ht="24" customHeight="1">
      <x:c r="A149" s="9" t="n">
        <x:v>132</x:v>
      </x:c>
      <x:c r="B149" s="9" t="n">
        <x:v>2</x:v>
      </x:c>
      <x:c r="C149" s="2" t="str">
        <x:v>Bebidas no carbonatadas</x:v>
      </x:c>
      <x:c r="D149" s="2" t="str">
        <x:v>PowerADE 600 ml</x:v>
      </x:c>
      <x:c r="E149" s="2" t="str">
        <x:v>Powerade 600 ml</x:v>
      </x:c>
      <x:c r="F149" s="2"/>
      <x:c r="G149" s="2" t="str">
        <x:v>Pet NR</x:v>
      </x:c>
      <x:c r="H149" s="9" t="n">
        <x:v>6</x:v>
      </x:c>
      <x:c r="I149" s="7" t="n">
        <x:v>128</x:v>
      </x:c>
      <x:c r="J149" s="7" t="n">
        <x:v>26</x:v>
      </x:c>
      <x:c r="K149" s="7" t="n">
        <x:f>ROUND(ROUND(I149*100,0)/H149,0)/100</x:f>
        <x:v>21.33</x:v>
      </x:c>
      <x:c r="L149" s="7" t="n">
        <x:v>28</x:v>
      </x:c>
      <x:c r="M149" s="12"/>
      <x:c r="N149" s="2" t="str">
        <x:v>Marzo de 2026</x:v>
      </x:c>
    </x:row>
    <x:row r="150" ht="24" customHeight="1">
      <x:c r="A150" s="9" t="n">
        <x:v>133</x:v>
      </x:c>
      <x:c r="B150" s="9" t="n">
        <x:v>2</x:v>
      </x:c>
      <x:c r="C150" s="2" t="str">
        <x:v>Bebidas no carbonatadas</x:v>
      </x:c>
      <x:c r="D150" s="2" t="str">
        <x:v>Flashlyte Suero 625 ml</x:v>
      </x:c>
      <x:c r="E150" s="2" t="str">
        <x:v>Flashlyte Suero 625 ml</x:v>
      </x:c>
      <x:c r="F150" s="2"/>
      <x:c r="G150" s="2" t="str">
        <x:v>Pet NR</x:v>
      </x:c>
      <x:c r="H150" s="9" t="n">
        <x:v>6</x:v>
      </x:c>
      <x:c r="I150" s="7" t="n">
        <x:v>109</x:v>
      </x:c>
      <x:c r="J150" s="7" t="n">
        <x:v>22</x:v>
      </x:c>
      <x:c r="K150" s="7" t="n">
        <x:f>ROUND(ROUND(I150*100,0)/H150,0)/100</x:f>
        <x:v>18.17</x:v>
      </x:c>
      <x:c r="L150" s="7" t="n">
        <x:v>23</x:v>
      </x:c>
      <x:c r="M150" s="12"/>
      <x:c r="N150" s="2" t="str">
        <x:v>Marzo de 2026</x:v>
      </x:c>
    </x:row>
    <x:row r="151" ht="24" customHeight="1">
      <x:c r="A151" s="9" t="n">
        <x:v>134</x:v>
      </x:c>
      <x:c r="B151" s="9" t="n">
        <x:v>2</x:v>
      </x:c>
      <x:c r="C151" s="2" t="str">
        <x:v>Jugos y néctares</x:v>
      </x:c>
      <x:c r="D151" s="2" t="str">
        <x:v>Del Valle 237 ml</x:v>
      </x:c>
      <x:c r="E151" s="2" t="str">
        <x:v>Del Valle 237 ml</x:v>
      </x:c>
      <x:c r="F151" s="2"/>
      <x:c r="G151" s="2" t="str">
        <x:v>Pet NR</x:v>
      </x:c>
      <x:c r="H151" s="9" t="n">
        <x:v>12</x:v>
      </x:c>
      <x:c r="I151" s="7" t="n">
        <x:v>120</x:v>
      </x:c>
      <x:c r="J151" s="7" t="n">
        <x:v>12</x:v>
      </x:c>
      <x:c r="K151" s="7" t="n">
        <x:f>ROUND(ROUND(I151*100,0)/H151,0)/100</x:f>
        <x:v>10</x:v>
      </x:c>
      <x:c r="L151" s="7" t="n">
        <x:v>24</x:v>
      </x:c>
      <x:c r="M151" s="12"/>
      <x:c r="N151" s="2" t="str">
        <x:v>Marzo de 2026</x:v>
      </x:c>
    </x:row>
    <x:row r="152" ht="24" customHeight="1">
      <x:c r="A152" s="9" t="n">
        <x:v>135</x:v>
      </x:c>
      <x:c r="B152" s="9" t="n">
        <x:v>2</x:v>
      </x:c>
      <x:c r="C152" s="2" t="str">
        <x:v>Jugos y néctares</x:v>
      </x:c>
      <x:c r="D152" s="2" t="str">
        <x:v>Del Valle 413 ml</x:v>
      </x:c>
      <x:c r="E152" s="2" t="str">
        <x:v>Del Valle 413 ml</x:v>
      </x:c>
      <x:c r="F152" s="2"/>
      <x:c r="G152" s="2" t="str">
        <x:v>Vidrio NR</x:v>
      </x:c>
      <x:c r="H152" s="9" t="n">
        <x:v>12</x:v>
      </x:c>
      <x:c r="I152" s="7" t="n">
        <x:v>213</x:v>
      </x:c>
      <x:c r="J152" s="7" t="n">
        <x:v>20</x:v>
      </x:c>
      <x:c r="K152" s="7" t="n">
        <x:f>ROUND(ROUND(I152*100,0)/H152,0)/100</x:f>
        <x:v>17.75</x:v>
      </x:c>
      <x:c r="L152" s="7" t="n">
        <x:v>27</x:v>
      </x:c>
      <x:c r="M152" s="12"/>
      <x:c r="N152" s="2" t="str">
        <x:v>Marzo de 2026</x:v>
      </x:c>
    </x:row>
    <x:row r="153" ht="24" customHeight="1">
      <x:c r="A153" s="9" t="n">
        <x:v>136</x:v>
      </x:c>
      <x:c r="B153" s="9" t="n">
        <x:v>2</x:v>
      </x:c>
      <x:c r="C153" s="2" t="str">
        <x:v>Jugos y néctares</x:v>
      </x:c>
      <x:c r="D153" s="2" t="str">
        <x:v>Frutsi 250 ml</x:v>
      </x:c>
      <x:c r="E153" s="2" t="str">
        <x:v>Frutsi 250 ml</x:v>
      </x:c>
      <x:c r="F153" s="2"/>
      <x:c r="G153" s="2" t="str">
        <x:v>Pet NR</x:v>
      </x:c>
      <x:c r="H153" s="9" t="n">
        <x:v>6</x:v>
      </x:c>
      <x:c r="I153" s="7" t="n">
        <x:v>53</x:v>
      </x:c>
      <x:c r="J153" s="7" t="n">
        <x:v>11</x:v>
      </x:c>
      <x:c r="K153" s="7" t="n">
        <x:f>ROUND(ROUND(I153*100,0)/H153,0)/100</x:f>
        <x:v>8.83</x:v>
      </x:c>
      <x:c r="L153" s="7" t="n">
        <x:v>13</x:v>
      </x:c>
      <x:c r="M153" s="12"/>
      <x:c r="N153" s="2" t="str">
        <x:v>Marzo de 2026</x:v>
      </x:c>
    </x:row>
    <x:row r="154" ht="24" customHeight="1">
      <x:c r="A154" s="9" t="n">
        <x:v>137</x:v>
      </x:c>
      <x:c r="B154" s="9" t="n">
        <x:v>2</x:v>
      </x:c>
      <x:c r="C154" s="2" t="str">
        <x:v>Jugos y néctares</x:v>
      </x:c>
      <x:c r="D154" s="2" t="str">
        <x:v>Del Valle 1 L</x:v>
      </x:c>
      <x:c r="E154" s="2" t="str">
        <x:v>Del Valle 1 L</x:v>
      </x:c>
      <x:c r="F154" s="2"/>
      <x:c r="G154" s="2" t="str">
        <x:v>Pet NR</x:v>
      </x:c>
      <x:c r="H154" s="9" t="n">
        <x:v>6</x:v>
      </x:c>
      <x:c r="I154" s="7" t="n">
        <x:v>160</x:v>
      </x:c>
      <x:c r="J154" s="7" t="n">
        <x:v>32</x:v>
      </x:c>
      <x:c r="K154" s="7" t="n">
        <x:f>ROUND(ROUND(I154*100,0)/H154,0)/100</x:f>
        <x:v>26.67</x:v>
      </x:c>
      <x:c r="L154" s="7" t="n">
        <x:v>32</x:v>
      </x:c>
      <x:c r="M154" s="12"/>
      <x:c r="N154" s="2" t="str">
        <x:v>Marzo de 2026</x:v>
      </x:c>
    </x:row>
    <x:row r="155" ht="24" customHeight="1">
      <x:c r="A155" s="9" t="n">
        <x:v>138</x:v>
      </x:c>
      <x:c r="B155" s="9" t="n">
        <x:v>2</x:v>
      </x:c>
      <x:c r="C155" s="2" t="str">
        <x:v>Jugos y néctares</x:v>
      </x:c>
      <x:c r="D155" s="2" t="str">
        <x:v>Valle Frut 600 ml</x:v>
      </x:c>
      <x:c r="E155" s="2" t="str">
        <x:v>Valle Frut 600 ml</x:v>
      </x:c>
      <x:c r="F155" s="2"/>
      <x:c r="G155" s="2" t="str">
        <x:v>Pet NR</x:v>
      </x:c>
      <x:c r="H155" s="9" t="n">
        <x:v>12</x:v>
      </x:c>
      <x:c r="I155" s="7" t="n">
        <x:v>202</x:v>
      </x:c>
      <x:c r="J155" s="7" t="n">
        <x:v>20</x:v>
      </x:c>
      <x:c r="K155" s="7" t="n">
        <x:f>ROUND(ROUND(I155*100,0)/H155,0)/100</x:f>
        <x:v>16.83</x:v>
      </x:c>
      <x:c r="L155" s="7" t="n">
        <x:v>38</x:v>
      </x:c>
      <x:c r="M155" s="12"/>
      <x:c r="N155" s="2" t="str">
        <x:v>Marzo de 2026</x:v>
      </x:c>
    </x:row>
    <x:row r="156" ht="24" customHeight="1">
      <x:c r="A156" s="9" t="n">
        <x:v>139</x:v>
      </x:c>
      <x:c r="B156" s="9" t="n">
        <x:v>2</x:v>
      </x:c>
      <x:c r="C156" s="2" t="str">
        <x:v>Jugos y néctares</x:v>
      </x:c>
      <x:c r="D156" s="2" t="str">
        <x:v>Valle Frut 2 L</x:v>
      </x:c>
      <x:c r="E156" s="2" t="str">
        <x:v>Valle Frut 2 L</x:v>
      </x:c>
      <x:c r="F156" s="2"/>
      <x:c r="G156" s="2" t="str">
        <x:v>Pet NR</x:v>
      </x:c>
      <x:c r="H156" s="9" t="n">
        <x:v>6</x:v>
      </x:c>
      <x:c r="I156" s="7" t="n">
        <x:v>155</x:v>
      </x:c>
      <x:c r="J156" s="7" t="n">
        <x:v>31</x:v>
      </x:c>
      <x:c r="K156" s="7" t="n">
        <x:f>ROUND(ROUND(I156*100,0)/H156,0)/100</x:f>
        <x:v>25.83</x:v>
      </x:c>
      <x:c r="L156" s="7" t="n">
        <x:v>31</x:v>
      </x:c>
      <x:c r="M156" s="12"/>
      <x:c r="N156" s="2" t="str">
        <x:v>Marzo de 2026</x:v>
      </x:c>
    </x:row>
    <x:row r="157" ht="24" customHeight="1">
      <x:c r="A157" s="9" t="n">
        <x:v>140</x:v>
      </x:c>
      <x:c r="B157" s="9" t="n">
        <x:v>2</x:v>
      </x:c>
      <x:c r="C157" s="2" t="str">
        <x:v>Jugos y néctares</x:v>
      </x:c>
      <x:c r="D157" s="2" t="str">
        <x:v>Valle Frut 3 L</x:v>
      </x:c>
      <x:c r="E157" s="2" t="str">
        <x:v>Valle Frut 3 L</x:v>
      </x:c>
      <x:c r="F157" s="2"/>
      <x:c r="G157" s="2" t="str">
        <x:v>Pet NR</x:v>
      </x:c>
      <x:c r="H157" s="9" t="n">
        <x:v>6</x:v>
      </x:c>
      <x:c r="I157" s="7" t="n">
        <x:v>206</x:v>
      </x:c>
      <x:c r="J157" s="7" t="n">
        <x:v>41</x:v>
      </x:c>
      <x:c r="K157" s="7" t="n">
        <x:f>ROUND(ROUND(I157*100,0)/H157,0)/100</x:f>
        <x:v>34.33</x:v>
      </x:c>
      <x:c r="L157" s="7" t="n">
        <x:v>40</x:v>
      </x:c>
      <x:c r="M157" s="12"/>
      <x:c r="N157" s="2" t="str">
        <x:v>Marzo de 2026</x:v>
      </x:c>
    </x:row>
    <x:row r="158" ht="24" customHeight="1">
      <x:c r="A158" s="9" t="n">
        <x:v>141</x:v>
      </x:c>
      <x:c r="B158" s="9" t="n">
        <x:v>2</x:v>
      </x:c>
      <x:c r="C158" s="2" t="str">
        <x:v>Lácteos</x:v>
      </x:c>
      <x:c r="D158" s="2" t="str">
        <x:v>UHT Sta. C. 1 L Entera, Light, Semi</x:v>
      </x:c>
      <x:c r="E158" s="2" t="str">
        <x:v>Santa Clara Leche UHT 1 L</x:v>
      </x:c>
      <x:c r="F158" s="2" t="str">
        <x:v>Entera</x:v>
      </x:c>
      <x:c r="G158" s="2" t="str">
        <x:v>TetraPack</x:v>
      </x:c>
      <x:c r="H158" s="9" t="n">
        <x:v>6</x:v>
      </x:c>
      <x:c r="I158" s="7" t="n">
        <x:v>174</x:v>
      </x:c>
      <x:c r="J158" s="7" t="n">
        <x:v>31</x:v>
      </x:c>
      <x:c r="K158" s="7" t="n">
        <x:f>ROUND(ROUND(I158*100,0)/H158,0)/100</x:f>
        <x:v>29</x:v>
      </x:c>
      <x:c r="L158" s="7" t="n">
        <x:v>12</x:v>
      </x:c>
      <x:c r="M158" s="12"/>
      <x:c r="N158" s="2" t="str">
        <x:v>Marzo de 2026</x:v>
      </x:c>
    </x:row>
    <x:row r="159" ht="24" customHeight="1">
      <x:c r="A159" s="9" t="n">
        <x:v>141</x:v>
      </x:c>
      <x:c r="B159" s="9" t="n">
        <x:v>2</x:v>
      </x:c>
      <x:c r="C159" s="2" t="str">
        <x:v>Lácteos</x:v>
      </x:c>
      <x:c r="D159" s="2" t="str">
        <x:v>UHT Sta. C. 1 L Entera, Light, Semi</x:v>
      </x:c>
      <x:c r="E159" s="2" t="str">
        <x:v>Santa Clara Leche UHT 1 L</x:v>
      </x:c>
      <x:c r="F159" s="2" t="str">
        <x:v>Light</x:v>
      </x:c>
      <x:c r="G159" s="2" t="str">
        <x:v>TetraPack</x:v>
      </x:c>
      <x:c r="H159" s="9" t="n">
        <x:v>6</x:v>
      </x:c>
      <x:c r="I159" s="7" t="n">
        <x:v>174</x:v>
      </x:c>
      <x:c r="J159" s="7" t="n">
        <x:v>31</x:v>
      </x:c>
      <x:c r="K159" s="7" t="n">
        <x:f>ROUND(ROUND(I159*100,0)/H159,0)/100</x:f>
        <x:v>29</x:v>
      </x:c>
      <x:c r="L159" s="7" t="n">
        <x:v>12</x:v>
      </x:c>
      <x:c r="M159" s="12"/>
      <x:c r="N159" s="2" t="str">
        <x:v>Marzo de 2026</x:v>
      </x:c>
    </x:row>
    <x:row r="160" ht="24" customHeight="1">
      <x:c r="A160" s="9" t="n">
        <x:v>141</x:v>
      </x:c>
      <x:c r="B160" s="9" t="n">
        <x:v>2</x:v>
      </x:c>
      <x:c r="C160" s="2" t="str">
        <x:v>Lácteos</x:v>
      </x:c>
      <x:c r="D160" s="2" t="str">
        <x:v>UHT Sta. C. 1 L Entera, Light, Semi</x:v>
      </x:c>
      <x:c r="E160" s="2" t="str">
        <x:v>Santa Clara Leche UHT 1 L</x:v>
      </x:c>
      <x:c r="F160" s="2" t="str">
        <x:v>Semi</x:v>
      </x:c>
      <x:c r="G160" s="2" t="str">
        <x:v>TetraPack</x:v>
      </x:c>
      <x:c r="H160" s="9" t="n">
        <x:v>6</x:v>
      </x:c>
      <x:c r="I160" s="7" t="n">
        <x:v>174</x:v>
      </x:c>
      <x:c r="J160" s="7" t="n">
        <x:v>31</x:v>
      </x:c>
      <x:c r="K160" s="7" t="n">
        <x:f>ROUND(ROUND(I160*100,0)/H160,0)/100</x:f>
        <x:v>29</x:v>
      </x:c>
      <x:c r="L160" s="7" t="n">
        <x:v>12</x:v>
      </x:c>
      <x:c r="M160" s="12"/>
      <x:c r="N160" s="2" t="str">
        <x:v>Marzo de 2026</x:v>
      </x:c>
    </x:row>
    <x:row r="161" ht="24" customHeight="1">
      <x:c r="A161" s="9" t="n">
        <x:v>142</x:v>
      </x:c>
      <x:c r="B161" s="9" t="n">
        <x:v>2</x:v>
      </x:c>
      <x:c r="C161" s="2" t="str">
        <x:v>Lácteos</x:v>
      </x:c>
      <x:c r="D161" s="2" t="str">
        <x:v>UHT Sta. Clara 1 L Deslactosada</x:v>
      </x:c>
      <x:c r="E161" s="2" t="str">
        <x:v>Santa Clara Leche UHT 1 L</x:v>
      </x:c>
      <x:c r="F161" s="2" t="str">
        <x:v>Deslactosada</x:v>
      </x:c>
      <x:c r="G161" s="2" t="str">
        <x:v>TetraPack</x:v>
      </x:c>
      <x:c r="H161" s="9" t="n">
        <x:v>6</x:v>
      </x:c>
      <x:c r="I161" s="7" t="n">
        <x:v>180</x:v>
      </x:c>
      <x:c r="J161" s="7" t="n">
        <x:v>32</x:v>
      </x:c>
      <x:c r="K161" s="7" t="n">
        <x:f>ROUND(ROUND(I161*100,0)/H161,0)/100</x:f>
        <x:v>30</x:v>
      </x:c>
      <x:c r="L161" s="7" t="n">
        <x:v>12</x:v>
      </x:c>
      <x:c r="M161" s="12"/>
      <x:c r="N161" s="2" t="str">
        <x:v>Marzo de 2026</x:v>
      </x:c>
    </x:row>
    <x:row r="162" ht="24" customHeight="1">
      <x:c r="A162" s="9" t="n">
        <x:v>143</x:v>
      </x:c>
      <x:c r="B162" s="9" t="n">
        <x:v>2</x:v>
      </x:c>
      <x:c r="C162" s="2" t="str">
        <x:v>Lácteos</x:v>
      </x:c>
      <x:c r="D162" s="2" t="str">
        <x:v>UHT Santa Clara 180 ml</x:v>
      </x:c>
      <x:c r="E162" s="2" t="str">
        <x:v>Santa Clara UHT 180 ml</x:v>
      </x:c>
      <x:c r="F162" s="2"/>
      <x:c r="G162" s="2" t="str">
        <x:v>TetraPack</x:v>
      </x:c>
      <x:c r="H162" s="9" t="n">
        <x:v>4</x:v>
      </x:c>
      <x:c r="I162" s="7" t="n">
        <x:v>48</x:v>
      </x:c>
      <x:c r="J162" s="7" t="n">
        <x:v>13</x:v>
      </x:c>
      <x:c r="K162" s="7" t="n">
        <x:f>ROUND(ROUND(I162*100,0)/H162,0)/100</x:f>
        <x:v>12</x:v>
      </x:c>
      <x:c r="L162" s="7" t="n">
        <x:v>4</x:v>
      </x:c>
      <x:c r="M162" s="12"/>
      <x:c r="N162" s="2" t="str">
        <x:v>Marzo de 2026</x:v>
      </x:c>
    </x:row>
    <x:row r="163" ht="24" customHeight="1">
      <x:c r="A163" s="9" t="n">
        <x:v>144</x:v>
      </x:c>
      <x:c r="B163" s="9" t="n">
        <x:v>2</x:v>
      </x:c>
      <x:c r="C163" s="2" t="str">
        <x:v>Lácteos</x:v>
      </x:c>
      <x:c r="D163" s="2" t="str">
        <x:v>UHT Santa Clara 250 ml</x:v>
      </x:c>
      <x:c r="E163" s="2" t="str">
        <x:v>Santa Clara UHT 250 ml</x:v>
      </x:c>
      <x:c r="F163" s="2"/>
      <x:c r="G163" s="2" t="str">
        <x:v>Pet NR</x:v>
      </x:c>
      <x:c r="H163" s="9" t="n">
        <x:v>6</x:v>
      </x:c>
      <x:c r="I163" s="7" t="n">
        <x:v>106</x:v>
      </x:c>
      <x:c r="J163" s="7" t="n">
        <x:v>20</x:v>
      </x:c>
      <x:c r="K163" s="7" t="n">
        <x:f>ROUND(ROUND(I163*100,0)/H163,0)/100</x:f>
        <x:v>17.67</x:v>
      </x:c>
      <x:c r="L163" s="7" t="n">
        <x:v>14</x:v>
      </x:c>
      <x:c r="M163" s="12"/>
      <x:c r="N163" s="2" t="str">
        <x:v>Marzo de 2026</x:v>
      </x:c>
    </x:row>
    <x:row r="164" ht="24" customHeight="1">
      <x:c r="A164" s="9" t="n">
        <x:v>145</x:v>
      </x:c>
      <x:c r="B164" s="9" t="n">
        <x:v>2</x:v>
      </x:c>
      <x:c r="C164" s="2" t="str">
        <x:v>Bebidas de soya</x:v>
      </x:c>
      <x:c r="D164" s="2" t="str">
        <x:v>Ades Soya Frutal 200 ml</x:v>
      </x:c>
      <x:c r="E164" s="2" t="str">
        <x:v>Ades Soya Frutal 200 ml</x:v>
      </x:c>
      <x:c r="F164" s="2"/>
      <x:c r="G164" s="2" t="str">
        <x:v>TetraPack</x:v>
      </x:c>
      <x:c r="H164" s="9" t="n">
        <x:v>4</x:v>
      </x:c>
      <x:c r="I164" s="7" t="n">
        <x:v>37</x:v>
      </x:c>
      <x:c r="J164" s="7" t="n">
        <x:v>11</x:v>
      </x:c>
      <x:c r="K164" s="7" t="n">
        <x:f>ROUND(ROUND(I164*100,0)/H164,0)/100</x:f>
        <x:v>9.25</x:v>
      </x:c>
      <x:c r="L164" s="7" t="n">
        <x:v>7</x:v>
      </x:c>
      <x:c r="M164" s="12"/>
      <x:c r="N164" s="2" t="str">
        <x:v>Marzo de 2026</x:v>
      </x:c>
    </x:row>
    <x:row r="165" ht="24" customHeight="1">
      <x:c r="A165" s="9" t="n">
        <x:v>146</x:v>
      </x:c>
      <x:c r="B165" s="9" t="n">
        <x:v>2</x:v>
      </x:c>
      <x:c r="C165" s="2" t="str">
        <x:v>Bebidas de soya</x:v>
      </x:c>
      <x:c r="D165" s="2" t="str">
        <x:v>Ades Soya Milk Almendra 946 ml</x:v>
      </x:c>
      <x:c r="E165" s="2" t="str">
        <x:v>Ades Soya Milk Almendra 946 ml</x:v>
      </x:c>
      <x:c r="F165" s="2"/>
      <x:c r="G165" s="2" t="str">
        <x:v>TetraPack</x:v>
      </x:c>
      <x:c r="H165" s="9" t="n">
        <x:v>3</x:v>
      </x:c>
      <x:c r="I165" s="7" t="n">
        <x:v>110</x:v>
      </x:c>
      <x:c r="J165" s="7" t="n">
        <x:v>42</x:v>
      </x:c>
      <x:c r="K165" s="7" t="n">
        <x:f>ROUND(ROUND(I165*100,0)/H165,0)/100</x:f>
        <x:v>36.67</x:v>
      </x:c>
      <x:c r="L165" s="7" t="n">
        <x:v>16</x:v>
      </x:c>
      <x:c r="M165" s="12"/>
      <x:c r="N165" s="2" t="str">
        <x:v>Marzo de 2026</x:v>
      </x:c>
    </x:row>
    <x:row r="166" ht="24" customHeight="1">
      <x:c r="A166" s="9" t="n">
        <x:v>147</x:v>
      </x:c>
      <x:c r="B166" s="9" t="n">
        <x:v>2</x:v>
      </x:c>
      <x:c r="C166" s="2" t="str">
        <x:v>Bebidas de soya</x:v>
      </x:c>
      <x:c r="D166" s="2" t="str">
        <x:v>Ades Soya Milk Nat 946 ml</x:v>
      </x:c>
      <x:c r="E166" s="2" t="str">
        <x:v>Ades Soya Milk Natural 946 ml</x:v>
      </x:c>
      <x:c r="F166" s="2"/>
      <x:c r="G166" s="2" t="str">
        <x:v>TetraPack</x:v>
      </x:c>
      <x:c r="H166" s="9" t="n">
        <x:v>3</x:v>
      </x:c>
      <x:c r="I166" s="7" t="n">
        <x:v>86</x:v>
      </x:c>
      <x:c r="J166" s="7" t="n">
        <x:v>34</x:v>
      </x:c>
      <x:c r="K166" s="7" t="n">
        <x:f>ROUND(ROUND(I166*100,0)/H166,0)/100</x:f>
        <x:v>28.67</x:v>
      </x:c>
      <x:c r="L166" s="7" t="n">
        <x:v>16</x:v>
      </x:c>
      <x:c r="M166" s="12"/>
      <x:c r="N166" s="2" t="str">
        <x:v>Marzo de 2026</x:v>
      </x:c>
    </x:row>
    <x:row r="167" ht="24" customHeight="1">
      <x:c r="A167" s="9" t="n">
        <x:v>148</x:v>
      </x:c>
      <x:c r="B167" s="9" t="n">
        <x:v>2</x:v>
      </x:c>
      <x:c r="C167" s="2" t="str">
        <x:v>Energéticos</x:v>
      </x:c>
      <x:c r="D167" s="2" t="str">
        <x:v>Monster 473 ml</x:v>
      </x:c>
      <x:c r="E167" s="2" t="str">
        <x:v>Monster 473 ml</x:v>
      </x:c>
      <x:c r="F167" s="2"/>
      <x:c r="G167" s="2" t="str">
        <x:v>Lata</x:v>
      </x:c>
      <x:c r="H167" s="9" t="n">
        <x:v>4</x:v>
      </x:c>
      <x:c r="I167" s="7" t="n">
        <x:v>134</x:v>
      </x:c>
      <x:c r="J167" s="7" t="n">
        <x:v>41</x:v>
      </x:c>
      <x:c r="K167" s="7" t="n">
        <x:f>ROUND(ROUND(I167*100,0)/H167,0)/100</x:f>
        <x:v>33.5</x:v>
      </x:c>
      <x:c r="L167" s="7" t="n">
        <x:v>30</x:v>
      </x:c>
      <x:c r="M167" s="12"/>
      <x:c r="N167" s="2" t="str">
        <x:v>Marzo de 2026</x:v>
      </x:c>
    </x:row>
    <x:row r="168" ht="24" customHeight="1">
      <x:c r="A168" s="9" t="n">
        <x:v>149</x:v>
      </x:c>
      <x:c r="B168" s="9" t="n">
        <x:v>2</x:v>
      </x:c>
      <x:c r="C168" s="2" t="str">
        <x:v>Energéticos</x:v>
      </x:c>
      <x:c r="D168" s="2" t="str">
        <x:v>Predator 473 ml</x:v>
      </x:c>
      <x:c r="E168" s="2" t="str">
        <x:v>Predator 473 ml</x:v>
      </x:c>
      <x:c r="F168" s="2"/>
      <x:c r="G168" s="2" t="str">
        <x:v>Lata</x:v>
      </x:c>
      <x:c r="H168" s="9" t="n">
        <x:v>6</x:v>
      </x:c>
      <x:c r="I168" s="7" t="n">
        <x:v>105</x:v>
      </x:c>
      <x:c r="J168" s="7" t="n">
        <x:v>22</x:v>
      </x:c>
      <x:c r="K168" s="7" t="n">
        <x:f>ROUND(ROUND(I168*100,0)/H168,0)/100</x:f>
        <x:v>17.5</x:v>
      </x:c>
      <x:c r="L168" s="7" t="n">
        <x:v>27</x:v>
      </x:c>
      <x:c r="M168" s="12"/>
      <x:c r="N168" s="2" t="str">
        <x:v>Marzo de 2026</x:v>
      </x:c>
    </x:row>
    <x:row r="169" ht="24" customHeight="1">
      <x:c r="A169" s="9" t="n">
        <x:v>150</x:v>
      </x:c>
      <x:c r="B169" s="9" t="n">
        <x:v>2</x:v>
      </x:c>
      <x:c r="C169" s="2" t="str">
        <x:v>Bebidas alcohólicas</x:v>
      </x:c>
      <x:c r="D169" s="2" t="str">
        <x:v>Bacardí 473 ml</x:v>
      </x:c>
      <x:c r="E169" s="2" t="str">
        <x:v>Bacardí 473 ml</x:v>
      </x:c>
      <x:c r="F169" s="2"/>
      <x:c r="G169" s="2" t="str">
        <x:v>Lata</x:v>
      </x:c>
      <x:c r="H169" s="9" t="n">
        <x:v>6</x:v>
      </x:c>
      <x:c r="I169" s="7" t="n">
        <x:v>168</x:v>
      </x:c>
      <x:c r="J169" s="7" t="n">
        <x:v>35</x:v>
      </x:c>
      <x:c r="K169" s="7" t="n">
        <x:f>ROUND(ROUND(I169*100,0)/H169,0)/100</x:f>
        <x:v>28</x:v>
      </x:c>
      <x:c r="L169" s="7" t="n">
        <x:v>42</x:v>
      </x:c>
      <x:c r="M169" s="12"/>
      <x:c r="N169" s="2" t="str">
        <x:v>Marzo de 2026</x:v>
      </x:c>
    </x:row>
    <x:row r="170" ht="24" customHeight="1">
      <x:c r="A170" s="9" t="n">
        <x:v>151</x:v>
      </x:c>
      <x:c r="B170" s="9" t="n">
        <x:v>2</x:v>
      </x:c>
      <x:c r="C170" s="2" t="str">
        <x:v>Bebidas alcohólicas</x:v>
      </x:c>
      <x:c r="D170" s="2" t="str">
        <x:v>Topo Chico Paloma / Cantarito 473 ml</x:v>
      </x:c>
      <x:c r="E170" s="2" t="str">
        <x:v>Topo Chico 473 ml</x:v>
      </x:c>
      <x:c r="F170" s="2" t="str">
        <x:v>Paloma</x:v>
      </x:c>
      <x:c r="G170" s="2" t="str">
        <x:v>Lata</x:v>
      </x:c>
      <x:c r="H170" s="9" t="n">
        <x:v>6</x:v>
      </x:c>
      <x:c r="I170" s="7" t="n">
        <x:v>164</x:v>
      </x:c>
      <x:c r="J170" s="7" t="n">
        <x:v>34</x:v>
      </x:c>
      <x:c r="K170" s="7" t="n">
        <x:f>ROUND(ROUND(I170*100,0)/H170,0)/100</x:f>
        <x:v>27.33</x:v>
      </x:c>
      <x:c r="L170" s="7" t="n">
        <x:v>40</x:v>
      </x:c>
      <x:c r="M170" s="12"/>
      <x:c r="N170" s="2" t="str">
        <x:v>Marzo de 2026</x:v>
      </x:c>
    </x:row>
    <x:row r="171" ht="24" customHeight="1">
      <x:c r="A171" s="9" t="n">
        <x:v>151</x:v>
      </x:c>
      <x:c r="B171" s="9" t="n">
        <x:v>2</x:v>
      </x:c>
      <x:c r="C171" s="2" t="str">
        <x:v>Bebidas alcohólicas</x:v>
      </x:c>
      <x:c r="D171" s="2" t="str">
        <x:v>Topo Chico Paloma / Cantarito 473 ml</x:v>
      </x:c>
      <x:c r="E171" s="2" t="str">
        <x:v>Topo Chico 473 ml</x:v>
      </x:c>
      <x:c r="F171" s="2" t="str">
        <x:v>Cantarito</x:v>
      </x:c>
      <x:c r="G171" s="2" t="str">
        <x:v>Lata</x:v>
      </x:c>
      <x:c r="H171" s="9" t="n">
        <x:v>6</x:v>
      </x:c>
      <x:c r="I171" s="7" t="n">
        <x:v>164</x:v>
      </x:c>
      <x:c r="J171" s="7" t="n">
        <x:v>34</x:v>
      </x:c>
      <x:c r="K171" s="7" t="n">
        <x:f>ROUND(ROUND(I171*100,0)/H171,0)/100</x:f>
        <x:v>27.33</x:v>
      </x:c>
      <x:c r="L171" s="7" t="n">
        <x:v>40</x:v>
      </x:c>
      <x:c r="M171" s="12"/>
      <x:c r="N171" s="2" t="str">
        <x:v>Marzo de 2026</x:v>
      </x:c>
    </x:row>
    <x:row r="172" ht="24" customHeight="1">
      <x:c r="A172" s="9" t="n">
        <x:v>152</x:v>
      </x:c>
      <x:c r="B172" s="9" t="n">
        <x:v>3</x:v>
      </x:c>
      <x:c r="C172" s="2" t="str">
        <x:v>Danone</x:v>
      </x:c>
      <x:c r="D172" s="2" t="str">
        <x:v>Dany 125 g</x:v>
      </x:c>
      <x:c r="E172" s="2" t="str">
        <x:v>Dany 125 g</x:v>
      </x:c>
      <x:c r="F172" s="2"/>
      <x:c r="G172" s="2" t="str">
        <x:v>Pieza</x:v>
      </x:c>
      <x:c r="H172" s="9" t="n">
        <x:v>1</x:v>
      </x:c>
      <x:c r="I172" s="7" t="n">
        <x:v>8.8</x:v>
      </x:c>
      <x:c r="J172" s="7" t="n">
        <x:v>11</x:v>
      </x:c>
      <x:c r="K172" s="7" t="n">
        <x:f>ROUND(ROUND(I172*100,0)/H172,0)/100</x:f>
        <x:v>8.8</x:v>
      </x:c>
      <x:c r="L172" s="7"/>
      <x:c r="M172" s="12"/>
      <x:c r="N172" s="2" t="str">
        <x:v>Desde 7 de septiembre de 2026</x:v>
      </x:c>
    </x:row>
    <x:row r="173" ht="24" customHeight="1">
      <x:c r="A173" s="9" t="n">
        <x:v>153</x:v>
      </x:c>
      <x:c r="B173" s="9" t="n">
        <x:v>3</x:v>
      </x:c>
      <x:c r="C173" s="2" t="str">
        <x:v>Danone</x:v>
      </x:c>
      <x:c r="D173" s="2" t="str">
        <x:v>Dany Pouch 125 g</x:v>
      </x:c>
      <x:c r="E173" s="2" t="str">
        <x:v>Dany Pouch 125 g</x:v>
      </x:c>
      <x:c r="F173" s="2"/>
      <x:c r="G173" s="2" t="str">
        <x:v>Pieza</x:v>
      </x:c>
      <x:c r="H173" s="9" t="n">
        <x:v>1</x:v>
      </x:c>
      <x:c r="I173" s="7" t="n">
        <x:v>13.2</x:v>
      </x:c>
      <x:c r="J173" s="7" t="n">
        <x:v>16</x:v>
      </x:c>
      <x:c r="K173" s="7" t="n">
        <x:f>ROUND(ROUND(I173*100,0)/H173,0)/100</x:f>
        <x:v>13.2</x:v>
      </x:c>
      <x:c r="L173" s="7"/>
      <x:c r="M173" s="12"/>
      <x:c r="N173" s="2" t="str">
        <x:v>Desde 7 de septiembre de 2026</x:v>
      </x:c>
    </x:row>
    <x:row r="174" ht="44" customHeight="1">
      <x:c r="A174" s="9" t="n">
        <x:v>154</x:v>
      </x:c>
      <x:c r="B174" s="9" t="n">
        <x:v>3</x:v>
      </x:c>
      <x:c r="C174" s="2" t="str">
        <x:v>Danone</x:v>
      </x:c>
      <x:c r="D174" s="2" t="str">
        <x:v>Danette Flan 200 g (Par)</x:v>
      </x:c>
      <x:c r="E174" s="2" t="str">
        <x:v>Danette Flan - pieza de par 200 g</x:v>
      </x:c>
      <x:c r="F174" s="2"/>
      <x:c r="G174" s="2" t="str">
        <x:v>Par</x:v>
      </x:c>
      <x:c r="H174" s="9" t="n">
        <x:v>2</x:v>
      </x:c>
      <x:c r="I174" s="7" t="n">
        <x:v>20.8</x:v>
      </x:c>
      <x:c r="J174" s="7" t="n">
        <x:v>13</x:v>
      </x:c>
      <x:c r="K174" s="7" t="n">
        <x:f>ROUND(ROUND(I174*100,0)/H174,0)/100</x:f>
        <x:v>10.4</x:v>
      </x:c>
      <x:c r="L174" s="7"/>
      <x:c r="M174" s="12" t="str">
        <x:v>Venta por pieza. Los 200 g identifican el par de origen; no se presume el peso de cada pieza.</x:v>
      </x:c>
      <x:c r="N174" s="2" t="str">
        <x:v>Desde 7 de septiembre de 2026</x:v>
      </x:c>
    </x:row>
    <x:row r="175" ht="44" customHeight="1">
      <x:c r="A175" s="9" t="n">
        <x:v>155</x:v>
      </x:c>
      <x:c r="B175" s="9" t="n">
        <x:v>3</x:v>
      </x:c>
      <x:c r="C175" s="2" t="str">
        <x:v>Danone</x:v>
      </x:c>
      <x:c r="D175" s="2" t="str">
        <x:v>Gelatina Leche (Par)</x:v>
      </x:c>
      <x:c r="E175" s="2" t="str">
        <x:v>Danone Gelatina Leche - pieza de par</x:v>
      </x:c>
      <x:c r="F175" s="2"/>
      <x:c r="G175" s="2" t="str">
        <x:v>Par</x:v>
      </x:c>
      <x:c r="H175" s="9" t="n">
        <x:v>2</x:v>
      </x:c>
      <x:c r="I175" s="7" t="n">
        <x:v>24.4</x:v>
      </x:c>
      <x:c r="J175" s="7" t="n">
        <x:v>15</x:v>
      </x:c>
      <x:c r="K175" s="7" t="n">
        <x:f>ROUND(ROUND(I175*100,0)/H175,0)/100</x:f>
        <x:v>12.2</x:v>
      </x:c>
      <x:c r="L175" s="7"/>
      <x:c r="M175" s="12" t="str">
        <x:v>Venta por pieza; la lista no indica gramaje.</x:v>
      </x:c>
      <x:c r="N175" s="2" t="str">
        <x:v>Desde 7 de septiembre de 2026</x:v>
      </x:c>
    </x:row>
    <x:row r="176" ht="44" customHeight="1">
      <x:c r="A176" s="9" t="n">
        <x:v>156</x:v>
      </x:c>
      <x:c r="B176" s="9" t="n">
        <x:v>3</x:v>
      </x:c>
      <x:c r="C176" s="2" t="str">
        <x:v>Danone</x:v>
      </x:c>
      <x:c r="D176" s="2" t="str">
        <x:v>Danette Natilla 100 g (Par)</x:v>
      </x:c>
      <x:c r="E176" s="2" t="str">
        <x:v>Danette Natilla - pieza de par 100 g</x:v>
      </x:c>
      <x:c r="F176" s="2"/>
      <x:c r="G176" s="2" t="str">
        <x:v>Par</x:v>
      </x:c>
      <x:c r="H176" s="9" t="n">
        <x:v>2</x:v>
      </x:c>
      <x:c r="I176" s="7" t="n">
        <x:v>25.2</x:v>
      </x:c>
      <x:c r="J176" s="7" t="n">
        <x:v>15</x:v>
      </x:c>
      <x:c r="K176" s="7" t="n">
        <x:f>ROUND(ROUND(I176*100,0)/H176,0)/100</x:f>
        <x:v>12.6</x:v>
      </x:c>
      <x:c r="L176" s="7"/>
      <x:c r="M176" s="12" t="str">
        <x:v>Venta por pieza. Se conserva el gramaje como referencia de la presentación indicada en la lista.</x:v>
      </x:c>
      <x:c r="N176" s="2" t="str">
        <x:v>Desde 7 de septiembre de 2026</x:v>
      </x:c>
    </x:row>
    <x:row r="177" ht="44" customHeight="1">
      <x:c r="A177" s="9" t="n">
        <x:v>157</x:v>
      </x:c>
      <x:c r="B177" s="9" t="n">
        <x:v>3</x:v>
      </x:c>
      <x:c r="C177" s="2" t="str">
        <x:v>Danone</x:v>
      </x:c>
      <x:c r="D177" s="2" t="str">
        <x:v>Danonino Maxi 336 g (Cuadro)</x:v>
      </x:c>
      <x:c r="E177" s="2" t="str">
        <x:v>Danonino Maxi - pieza de cuadro 336 g</x:v>
      </x:c>
      <x:c r="F177" s="2"/>
      <x:c r="G177" s="2" t="str">
        <x:v>Cuadro</x:v>
      </x:c>
      <x:c r="H177" s="9" t="n">
        <x:v>4</x:v>
      </x:c>
      <x:c r="I177" s="7" t="n">
        <x:v>35.3</x:v>
      </x:c>
      <x:c r="J177" s="7" t="n">
        <x:v>11</x:v>
      </x:c>
      <x:c r="K177" s="7" t="n">
        <x:f>ROUND(ROUND(I177*100,0)/H177,0)/100</x:f>
        <x:v>8.83</x:v>
      </x:c>
      <x:c r="L177" s="7"/>
      <x:c r="M177" s="12" t="str">
        <x:v>Venta por pieza. Los 336 g identifican el multipaquete de origen.</x:v>
      </x:c>
      <x:c r="N177" s="2" t="str">
        <x:v>Desde 7 de septiembre de 2026</x:v>
      </x:c>
    </x:row>
    <x:row r="178" ht="44" customHeight="1">
      <x:c r="A178" s="9" t="n">
        <x:v>158</x:v>
      </x:c>
      <x:c r="B178" s="9" t="n">
        <x:v>3</x:v>
      </x:c>
      <x:c r="C178" s="2" t="str">
        <x:v>Danone</x:v>
      </x:c>
      <x:c r="D178" s="2" t="str">
        <x:v>Danonino 168 g (Cuadro)</x:v>
      </x:c>
      <x:c r="E178" s="2" t="str">
        <x:v>Danonino - pieza de cuadro 168 g</x:v>
      </x:c>
      <x:c r="F178" s="2"/>
      <x:c r="G178" s="2" t="str">
        <x:v>Cuadro</x:v>
      </x:c>
      <x:c r="H178" s="9" t="n">
        <x:v>4</x:v>
      </x:c>
      <x:c r="I178" s="7" t="n">
        <x:v>25.6</x:v>
      </x:c>
      <x:c r="J178" s="7" t="n">
        <x:v>8</x:v>
      </x:c>
      <x:c r="K178" s="7" t="n">
        <x:f>ROUND(ROUND(I178*100,0)/H178,0)/100</x:f>
        <x:v>6.4</x:v>
      </x:c>
      <x:c r="L178" s="7"/>
      <x:c r="M178" s="12" t="str">
        <x:v>Venta por pieza. Los 168 g identifican el multipaquete de origen.</x:v>
      </x:c>
      <x:c r="N178" s="2" t="str">
        <x:v>Desde 7 de septiembre de 2026</x:v>
      </x:c>
    </x:row>
    <x:row r="179" ht="24" customHeight="1">
      <x:c r="A179" s="9" t="n">
        <x:v>159</x:v>
      </x:c>
      <x:c r="B179" s="9" t="n">
        <x:v>3</x:v>
      </x:c>
      <x:c r="C179" s="2" t="str">
        <x:v>Danone</x:v>
      </x:c>
      <x:c r="D179" s="2" t="str">
        <x:v>Danonino Pouch 70 g</x:v>
      </x:c>
      <x:c r="E179" s="2" t="str">
        <x:v>Danonino Pouch 70 g</x:v>
      </x:c>
      <x:c r="F179" s="2"/>
      <x:c r="G179" s="2" t="str">
        <x:v>Pieza</x:v>
      </x:c>
      <x:c r="H179" s="9" t="n">
        <x:v>1</x:v>
      </x:c>
      <x:c r="I179" s="7" t="n">
        <x:v>12.2</x:v>
      </x:c>
      <x:c r="J179" s="7" t="n">
        <x:v>15</x:v>
      </x:c>
      <x:c r="K179" s="7" t="n">
        <x:f>ROUND(ROUND(I179*100,0)/H179,0)/100</x:f>
        <x:v>12.2</x:v>
      </x:c>
      <x:c r="L179" s="7"/>
      <x:c r="M179" s="12"/>
      <x:c r="N179" s="2" t="str">
        <x:v>Desde 7 de septiembre de 2026</x:v>
      </x:c>
    </x:row>
    <x:row r="180" ht="24" customHeight="1">
      <x:c r="A180" s="9" t="n">
        <x:v>160</x:v>
      </x:c>
      <x:c r="B180" s="9" t="n">
        <x:v>3</x:v>
      </x:c>
      <x:c r="C180" s="2" t="str">
        <x:v>Danone</x:v>
      </x:c>
      <x:c r="D180" s="2" t="str">
        <x:v>Danonino Bebible 90 g</x:v>
      </x:c>
      <x:c r="E180" s="2" t="str">
        <x:v>Danonino Bebible 90 g</x:v>
      </x:c>
      <x:c r="F180" s="2"/>
      <x:c r="G180" s="2" t="str">
        <x:v>Pieza</x:v>
      </x:c>
      <x:c r="H180" s="9" t="n">
        <x:v>1</x:v>
      </x:c>
      <x:c r="I180" s="7" t="n">
        <x:v>8.2</x:v>
      </x:c>
      <x:c r="J180" s="7" t="n">
        <x:v>10</x:v>
      </x:c>
      <x:c r="K180" s="7" t="n">
        <x:f>ROUND(ROUND(I180*100,0)/H180,0)/100</x:f>
        <x:v>8.2</x:v>
      </x:c>
      <x:c r="L180" s="7"/>
      <x:c r="M180" s="12"/>
      <x:c r="N180" s="2" t="str">
        <x:v>Desde 7 de septiembre de 2026</x:v>
      </x:c>
    </x:row>
    <x:row r="181" ht="24" customHeight="1">
      <x:c r="A181" s="9" t="n">
        <x:v>161</x:v>
      </x:c>
      <x:c r="B181" s="9" t="n">
        <x:v>3</x:v>
      </x:c>
      <x:c r="C181" s="2" t="str">
        <x:v>Danone</x:v>
      </x:c>
      <x:c r="D181" s="2" t="str">
        <x:v>Danonino Bebible 170 g</x:v>
      </x:c>
      <x:c r="E181" s="2" t="str">
        <x:v>Danonino Bebible 170 g</x:v>
      </x:c>
      <x:c r="F181" s="2"/>
      <x:c r="G181" s="2" t="str">
        <x:v>Pieza</x:v>
      </x:c>
      <x:c r="H181" s="9" t="n">
        <x:v>1</x:v>
      </x:c>
      <x:c r="I181" s="7" t="n">
        <x:v>10.4</x:v>
      </x:c>
      <x:c r="J181" s="7" t="n">
        <x:v>13</x:v>
      </x:c>
      <x:c r="K181" s="7" t="n">
        <x:f>ROUND(ROUND(I181*100,0)/H181,0)/100</x:f>
        <x:v>10.4</x:v>
      </x:c>
      <x:c r="L181" s="7"/>
      <x:c r="M181" s="12"/>
      <x:c r="N181" s="2" t="str">
        <x:v>Desde 7 de septiembre de 2026</x:v>
      </x:c>
    </x:row>
    <x:row r="182" ht="24" customHeight="1">
      <x:c r="A182" s="9" t="n">
        <x:v>162</x:v>
      </x:c>
      <x:c r="B182" s="9" t="n">
        <x:v>3</x:v>
      </x:c>
      <x:c r="C182" s="2" t="str">
        <x:v>Danone</x:v>
      </x:c>
      <x:c r="D182" s="2" t="str">
        <x:v>Danup 220 g</x:v>
      </x:c>
      <x:c r="E182" s="2" t="str">
        <x:v>Danup 220 g</x:v>
      </x:c>
      <x:c r="F182" s="2"/>
      <x:c r="G182" s="2" t="str">
        <x:v>Pieza</x:v>
      </x:c>
      <x:c r="H182" s="9" t="n">
        <x:v>1</x:v>
      </x:c>
      <x:c r="I182" s="7" t="n">
        <x:v>15.2</x:v>
      </x:c>
      <x:c r="J182" s="7" t="n">
        <x:v>19</x:v>
      </x:c>
      <x:c r="K182" s="7" t="n">
        <x:f>ROUND(ROUND(I182*100,0)/H182,0)/100</x:f>
        <x:v>15.2</x:v>
      </x:c>
      <x:c r="L182" s="7"/>
      <x:c r="M182" s="12"/>
      <x:c r="N182" s="2" t="str">
        <x:v>Desde 7 de septiembre de 2026</x:v>
      </x:c>
    </x:row>
    <x:row r="183" ht="24" customHeight="1">
      <x:c r="A183" s="9" t="n">
        <x:v>163</x:v>
      </x:c>
      <x:c r="B183" s="9" t="n">
        <x:v>3</x:v>
      </x:c>
      <x:c r="C183" s="2" t="str">
        <x:v>Danone</x:v>
      </x:c>
      <x:c r="D183" s="2" t="str">
        <x:v>Danup 350 g</x:v>
      </x:c>
      <x:c r="E183" s="2" t="str">
        <x:v>Danup 350 g</x:v>
      </x:c>
      <x:c r="F183" s="2"/>
      <x:c r="G183" s="2" t="str">
        <x:v>Pieza</x:v>
      </x:c>
      <x:c r="H183" s="9" t="n">
        <x:v>1</x:v>
      </x:c>
      <x:c r="I183" s="7" t="n">
        <x:v>19.4</x:v>
      </x:c>
      <x:c r="J183" s="7" t="n">
        <x:v>24</x:v>
      </x:c>
      <x:c r="K183" s="7" t="n">
        <x:f>ROUND(ROUND(I183*100,0)/H183,0)/100</x:f>
        <x:v>19.4</x:v>
      </x:c>
      <x:c r="L183" s="7"/>
      <x:c r="M183" s="12"/>
      <x:c r="N183" s="2" t="str">
        <x:v>Desde 7 de septiembre de 2026</x:v>
      </x:c>
    </x:row>
    <x:row r="184" ht="24" customHeight="1">
      <x:c r="A184" s="9" t="n">
        <x:v>164</x:v>
      </x:c>
      <x:c r="B184" s="9" t="n">
        <x:v>3</x:v>
      </x:c>
      <x:c r="C184" s="2" t="str">
        <x:v>Danone</x:v>
      </x:c>
      <x:c r="D184" s="2" t="str">
        <x:v>Danup 435 g</x:v>
      </x:c>
      <x:c r="E184" s="2" t="str">
        <x:v>Danup 435 g</x:v>
      </x:c>
      <x:c r="F184" s="2"/>
      <x:c r="G184" s="2" t="str">
        <x:v>Pieza</x:v>
      </x:c>
      <x:c r="H184" s="9" t="n">
        <x:v>1</x:v>
      </x:c>
      <x:c r="I184" s="7" t="n">
        <x:v>21.9</x:v>
      </x:c>
      <x:c r="J184" s="7" t="n">
        <x:v>27</x:v>
      </x:c>
      <x:c r="K184" s="7" t="n">
        <x:f>ROUND(ROUND(I184*100,0)/H184,0)/100</x:f>
        <x:v>21.9</x:v>
      </x:c>
      <x:c r="L184" s="7"/>
      <x:c r="M184" s="12"/>
      <x:c r="N184" s="2" t="str">
        <x:v>Desde 7 de septiembre de 2026</x:v>
      </x:c>
    </x:row>
    <x:row r="185" ht="44" customHeight="1">
      <x:c r="A185" s="9" t="n">
        <x:v>165</x:v>
      </x:c>
      <x:c r="B185" s="9" t="n">
        <x:v>3</x:v>
      </x:c>
      <x:c r="C185" s="2" t="str">
        <x:v>Danone</x:v>
      </x:c>
      <x:c r="D185" s="2" t="str">
        <x:v>Danone Licuado 475 g</x:v>
      </x:c>
      <x:c r="E185" s="2" t="str">
        <x:v>Danone Licuado 475 g</x:v>
      </x:c>
      <x:c r="F185" s="2"/>
      <x:c r="G185" s="2" t="str">
        <x:v>Pieza</x:v>
      </x:c>
      <x:c r="H185" s="9" t="n">
        <x:v>1</x:v>
      </x:c>
      <x:c r="I185" s="7" t="n">
        <x:v>21.9</x:v>
      </x:c>
      <x:c r="J185" s="7" t="n">
        <x:v>27</x:v>
      </x:c>
      <x:c r="K185" s="7" t="n">
        <x:f>ROUND(ROUND(I185*100,0)/H185,0)/100</x:f>
        <x:v>21.9</x:v>
      </x:c>
      <x:c r="L185" s="7"/>
      <x:c r="M185" s="12" t="str">
        <x:v>Descripción próxima al texto superpuesto del pie; se lee Licuado 475 g.</x:v>
      </x:c>
      <x:c r="N185" s="2" t="str">
        <x:v>Desde 7 de septiembre de 2026</x:v>
      </x:c>
    </x:row>
    <x:row r="186" ht="24" customHeight="1">
      <x:c r="A186" s="9" t="n">
        <x:v>166</x:v>
      </x:c>
      <x:c r="B186" s="9" t="n">
        <x:v>3</x:v>
      </x:c>
      <x:c r="C186" s="2" t="str">
        <x:v>Danone</x:v>
      </x:c>
      <x:c r="D186" s="2" t="str">
        <x:v>Activia 225 g</x:v>
      </x:c>
      <x:c r="E186" s="2" t="str">
        <x:v>Activia 225 g</x:v>
      </x:c>
      <x:c r="F186" s="2"/>
      <x:c r="G186" s="2" t="str">
        <x:v>Pieza</x:v>
      </x:c>
      <x:c r="H186" s="9" t="n">
        <x:v>1</x:v>
      </x:c>
      <x:c r="I186" s="7" t="n">
        <x:v>15.8</x:v>
      </x:c>
      <x:c r="J186" s="7" t="n">
        <x:v>19</x:v>
      </x:c>
      <x:c r="K186" s="7" t="n">
        <x:f>ROUND(ROUND(I186*100,0)/H186,0)/100</x:f>
        <x:v>15.8</x:v>
      </x:c>
      <x:c r="L186" s="7"/>
      <x:c r="M186" s="12"/>
      <x:c r="N186" s="2" t="str">
        <x:v>Desde 7 de septiembre de 2026</x:v>
      </x:c>
    </x:row>
    <x:row r="187" ht="24" customHeight="1">
      <x:c r="A187" s="9" t="n">
        <x:v>167</x:v>
      </x:c>
      <x:c r="B187" s="9" t="n">
        <x:v>3</x:v>
      </x:c>
      <x:c r="C187" s="2" t="str">
        <x:v>Danone</x:v>
      </x:c>
      <x:c r="D187" s="2" t="str">
        <x:v>Benegastro 240 g</x:v>
      </x:c>
      <x:c r="E187" s="2" t="str">
        <x:v>Benegastro 240 g</x:v>
      </x:c>
      <x:c r="F187" s="2"/>
      <x:c r="G187" s="2" t="str">
        <x:v>Pieza</x:v>
      </x:c>
      <x:c r="H187" s="9" t="n">
        <x:v>1</x:v>
      </x:c>
      <x:c r="I187" s="7" t="n">
        <x:v>16.6</x:v>
      </x:c>
      <x:c r="J187" s="7" t="n">
        <x:v>20</x:v>
      </x:c>
      <x:c r="K187" s="7" t="n">
        <x:f>ROUND(ROUND(I187*100,0)/H187,0)/100</x:f>
        <x:v>16.6</x:v>
      </x:c>
      <x:c r="L187" s="7"/>
      <x:c r="M187" s="12"/>
      <x:c r="N187" s="2" t="str">
        <x:v>Desde 7 de septiembre de 2026</x:v>
      </x:c>
    </x:row>
    <x:row r="188" ht="24" customHeight="1">
      <x:c r="A188" s="9" t="n">
        <x:v>168</x:v>
      </x:c>
      <x:c r="B188" s="9" t="n">
        <x:v>3</x:v>
      </x:c>
      <x:c r="C188" s="2" t="str">
        <x:v>Danone</x:v>
      </x:c>
      <x:c r="D188" s="2" t="str">
        <x:v>Danone 220 g</x:v>
      </x:c>
      <x:c r="E188" s="2" t="str">
        <x:v>Danone 220 g</x:v>
      </x:c>
      <x:c r="F188" s="2"/>
      <x:c r="G188" s="2" t="str">
        <x:v>Pieza</x:v>
      </x:c>
      <x:c r="H188" s="9" t="n">
        <x:v>1</x:v>
      </x:c>
      <x:c r="I188" s="7" t="n">
        <x:v>15.2</x:v>
      </x:c>
      <x:c r="J188" s="7" t="n">
        <x:v>19</x:v>
      </x:c>
      <x:c r="K188" s="7" t="n">
        <x:f>ROUND(ROUND(I188*100,0)/H188,0)/100</x:f>
        <x:v>15.2</x:v>
      </x:c>
      <x:c r="L188" s="7"/>
      <x:c r="M188" s="12"/>
      <x:c r="N188" s="2" t="str">
        <x:v>Desde 7 de septiembre de 2026</x:v>
      </x:c>
    </x:row>
    <x:row r="189" ht="44" customHeight="1">
      <x:c r="A189" s="9" t="n">
        <x:v>169</x:v>
      </x:c>
      <x:c r="B189" s="9" t="n">
        <x:v>3</x:v>
      </x:c>
      <x:c r="C189" s="2" t="str">
        <x:v>Danone</x:v>
      </x:c>
      <x:c r="D189" s="2" t="str">
        <x:v>Danone Bipack 140 g</x:v>
      </x:c>
      <x:c r="E189" s="2" t="str">
        <x:v>Danone Bipack 140 g</x:v>
      </x:c>
      <x:c r="F189" s="2"/>
      <x:c r="G189" s="2" t="str">
        <x:v>Bipack</x:v>
      </x:c>
      <x:c r="H189" s="9" t="n">
        <x:v>1</x:v>
      </x:c>
      <x:c r="I189" s="7" t="n">
        <x:v>13.7</x:v>
      </x:c>
      <x:c r="J189" s="7" t="n">
        <x:v>17</x:v>
      </x:c>
      <x:c r="K189" s="7" t="n">
        <x:f>ROUND(ROUND(I189*100,0)/H189,0)/100</x:f>
        <x:v>13.7</x:v>
      </x:c>
      <x:c r="L189" s="7"/>
      <x:c r="M189" s="12" t="str">
        <x:v>Se conserva el bipack como unidad de venta: la lista ya indica 17.00 por pieza para esta presentación; no incluye la marca Par o Cuadro.</x:v>
      </x:c>
      <x:c r="N189" s="2" t="str">
        <x:v>Desde 7 de septiembre de 2026</x:v>
      </x:c>
    </x:row>
    <x:row r="190" ht="44" customHeight="1">
      <x:c r="A190" s="9" t="n">
        <x:v>170</x:v>
      </x:c>
      <x:c r="B190" s="9" t="n">
        <x:v>3</x:v>
      </x:c>
      <x:c r="C190" s="2" t="str">
        <x:v>Danone</x:v>
      </x:c>
      <x:c r="D190" s="2" t="str">
        <x:v>Danone Fruta 240 g (Par)</x:v>
      </x:c>
      <x:c r="E190" s="2" t="str">
        <x:v>Danone Fruta - pieza de par 240 g</x:v>
      </x:c>
      <x:c r="F190" s="2"/>
      <x:c r="G190" s="2" t="str">
        <x:v>Par</x:v>
      </x:c>
      <x:c r="H190" s="9" t="n">
        <x:v>2</x:v>
      </x:c>
      <x:c r="I190" s="7" t="n">
        <x:v>7.2</x:v>
      </x:c>
      <x:c r="J190" s="7" t="n">
        <x:v>9</x:v>
      </x:c>
      <x:c r="K190" s="7" t="n">
        <x:f>ROUND(ROUND(I190*100,0)/H190,0)/100</x:f>
        <x:v>3.6</x:v>
      </x:c>
      <x:c r="L190" s="7"/>
      <x:c r="M190" s="12" t="str">
        <x:v>REVISAR: la lista muestra 7.20 y Par. Se divide entre 2 conforme al criterio confirmado; coste 3.60 por pieza. Confirmar si el proveedor ya cotiza 7.20 por pieza.</x:v>
      </x:c>
      <x:c r="N190" s="2" t="str">
        <x:v>Desde 7 de septiembre de 2026</x:v>
      </x:c>
    </x:row>
    <x:row r="191" ht="24" customHeight="1">
      <x:c r="A191" s="9" t="n">
        <x:v>171</x:v>
      </x:c>
      <x:c r="B191" s="9" t="n">
        <x:v>3</x:v>
      </x:c>
      <x:c r="C191" s="2" t="str">
        <x:v>Danone</x:v>
      </x:c>
      <x:c r="D191" s="2" t="str">
        <x:v>Griegos 120 g</x:v>
      </x:c>
      <x:c r="E191" s="2" t="str">
        <x:v>Danone Griegos 120 g</x:v>
      </x:c>
      <x:c r="F191" s="2"/>
      <x:c r="G191" s="2" t="str">
        <x:v>Pieza</x:v>
      </x:c>
      <x:c r="H191" s="9" t="n">
        <x:v>1</x:v>
      </x:c>
      <x:c r="I191" s="7" t="n">
        <x:v>8.9</x:v>
      </x:c>
      <x:c r="J191" s="7" t="n">
        <x:v>11</x:v>
      </x:c>
      <x:c r="K191" s="7" t="n">
        <x:f>ROUND(ROUND(I191*100,0)/H191,0)/100</x:f>
        <x:v>8.9</x:v>
      </x:c>
      <x:c r="L191" s="7"/>
      <x:c r="M191" s="12"/>
      <x:c r="N191" s="2" t="str">
        <x:v>Desde 7 de septiembre de 2026</x:v>
      </x:c>
    </x:row>
    <x:row r="192" ht="24" customHeight="1">
      <x:c r="A192" s="9" t="n">
        <x:v>172</x:v>
      </x:c>
      <x:c r="B192" s="9" t="n">
        <x:v>3</x:v>
      </x:c>
      <x:c r="C192" s="2" t="str">
        <x:v>Danone</x:v>
      </x:c>
      <x:c r="D192" s="2" t="str">
        <x:v>Oikos Selecto 220 g</x:v>
      </x:c>
      <x:c r="E192" s="2" t="str">
        <x:v>Oikos Selecto 220 g</x:v>
      </x:c>
      <x:c r="F192" s="2"/>
      <x:c r="G192" s="2" t="str">
        <x:v>Pieza</x:v>
      </x:c>
      <x:c r="H192" s="9" t="n">
        <x:v>1</x:v>
      </x:c>
      <x:c r="I192" s="7" t="n">
        <x:v>18.3</x:v>
      </x:c>
      <x:c r="J192" s="7" t="n">
        <x:v>23</x:v>
      </x:c>
      <x:c r="K192" s="7" t="n">
        <x:f>ROUND(ROUND(I192*100,0)/H192,0)/100</x:f>
        <x:v>18.3</x:v>
      </x:c>
      <x:c r="L192" s="7"/>
      <x:c r="M192" s="12"/>
      <x:c r="N192" s="2" t="str">
        <x:v>Desde 7 de septiembre de 2026</x:v>
      </x:c>
    </x:row>
    <x:row r="193" ht="24" customHeight="1">
      <x:c r="A193" s="9" t="n">
        <x:v>173</x:v>
      </x:c>
      <x:c r="B193" s="9" t="n">
        <x:v>3</x:v>
      </x:c>
      <x:c r="C193" s="2" t="str">
        <x:v>Danone</x:v>
      </x:c>
      <x:c r="D193" s="2" t="str">
        <x:v>Oikos Pro 220 g</x:v>
      </x:c>
      <x:c r="E193" s="2" t="str">
        <x:v>Oikos Pro 220 g</x:v>
      </x:c>
      <x:c r="F193" s="2"/>
      <x:c r="G193" s="2" t="str">
        <x:v>Pieza</x:v>
      </x:c>
      <x:c r="H193" s="9" t="n">
        <x:v>1</x:v>
      </x:c>
      <x:c r="I193" s="7" t="n">
        <x:v>24</x:v>
      </x:c>
      <x:c r="J193" s="7" t="n">
        <x:v>30</x:v>
      </x:c>
      <x:c r="K193" s="7" t="n">
        <x:f>ROUND(ROUND(I193*100,0)/H193,0)/100</x:f>
        <x:v>24</x:v>
      </x:c>
      <x:c r="L193" s="7"/>
      <x:c r="M193" s="12"/>
      <x:c r="N193" s="2" t="str">
        <x:v>Desde 7 de septiembre de 2026</x:v>
      </x:c>
    </x:row>
    <x:row r="194" ht="24" customHeight="1">
      <x:c r="A194" s="9" t="n">
        <x:v>174</x:v>
      </x:c>
      <x:c r="B194" s="9" t="n">
        <x:v>3</x:v>
      </x:c>
      <x:c r="C194" s="2" t="str">
        <x:v>Danone</x:v>
      </x:c>
      <x:c r="D194" s="2" t="str">
        <x:v>Oikos Pro UHT 300 ml</x:v>
      </x:c>
      <x:c r="E194" s="2" t="str">
        <x:v>Oikos Pro UHT 300 ml</x:v>
      </x:c>
      <x:c r="F194" s="2"/>
      <x:c r="G194" s="2" t="str">
        <x:v>Pieza</x:v>
      </x:c>
      <x:c r="H194" s="9" t="n">
        <x:v>1</x:v>
      </x:c>
      <x:c r="I194" s="7" t="n">
        <x:v>24</x:v>
      </x:c>
      <x:c r="J194" s="7" t="n">
        <x:v>30</x:v>
      </x:c>
      <x:c r="K194" s="7" t="n">
        <x:f>ROUND(ROUND(I194*100,0)/H194,0)/100</x:f>
        <x:v>24</x:v>
      </x:c>
      <x:c r="L194" s="7"/>
      <x:c r="M194" s="12"/>
      <x:c r="N194" s="2" t="str">
        <x:v>Desde 7 de septiembre de 2026</x:v>
      </x:c>
    </x:row>
    <x:row r="195" ht="24" customHeight="1">
      <x:c r="A195" s="9" t="n">
        <x:v>175</x:v>
      </x:c>
      <x:c r="B195" s="9" t="n">
        <x:v>3</x:v>
      </x:c>
      <x:c r="C195" s="2" t="str">
        <x:v>Danone</x:v>
      </x:c>
      <x:c r="D195" s="2" t="str">
        <x:v>Oikos 125 g</x:v>
      </x:c>
      <x:c r="E195" s="2" t="str">
        <x:v>Oikos 125 g</x:v>
      </x:c>
      <x:c r="F195" s="2"/>
      <x:c r="G195" s="2" t="str">
        <x:v>Pieza</x:v>
      </x:c>
      <x:c r="H195" s="9" t="n">
        <x:v>1</x:v>
      </x:c>
      <x:c r="I195" s="7" t="n">
        <x:v>13.8</x:v>
      </x:c>
      <x:c r="J195" s="7" t="n">
        <x:v>17</x:v>
      </x:c>
      <x:c r="K195" s="7" t="n">
        <x:f>ROUND(ROUND(I195*100,0)/H195,0)/100</x:f>
        <x:v>13.8</x:v>
      </x:c>
      <x:c r="L195" s="7"/>
      <x:c r="M195" s="12"/>
      <x:c r="N195" s="2" t="str">
        <x:v>Desde 7 de septiembre de 2026</x:v>
      </x:c>
    </x:row>
    <x:row r="196" ht="24" customHeight="1">
      <x:c r="A196" s="9" t="n">
        <x:v>176</x:v>
      </x:c>
      <x:c r="B196" s="9" t="n">
        <x:v>3</x:v>
      </x:c>
      <x:c r="C196" s="2" t="str">
        <x:v>Danone</x:v>
      </x:c>
      <x:c r="D196" s="2" t="str">
        <x:v>Danmix 110 g</x:v>
      </x:c>
      <x:c r="E196" s="2" t="str">
        <x:v>Danmix 110 g</x:v>
      </x:c>
      <x:c r="F196" s="2"/>
      <x:c r="G196" s="2" t="str">
        <x:v>Pieza</x:v>
      </x:c>
      <x:c r="H196" s="9" t="n">
        <x:v>1</x:v>
      </x:c>
      <x:c r="I196" s="7" t="n">
        <x:v>19.7</x:v>
      </x:c>
      <x:c r="J196" s="7" t="n">
        <x:v>24</x:v>
      </x:c>
      <x:c r="K196" s="7" t="n">
        <x:f>ROUND(ROUND(I196*100,0)/H196,0)/100</x:f>
        <x:v>19.7</x:v>
      </x:c>
      <x:c r="L196" s="7"/>
      <x:c r="M196" s="12"/>
      <x:c r="N196" s="2" t="str">
        <x:v>Desde 7 de septiembre de 2026</x:v>
      </x:c>
    </x:row>
    <x:row r="197" ht="24" customHeight="1">
      <x:c r="A197" s="9" t="n">
        <x:v>177</x:v>
      </x:c>
      <x:c r="B197" s="9" t="n">
        <x:v>3</x:v>
      </x:c>
      <x:c r="C197" s="2" t="str">
        <x:v>Danone</x:v>
      </x:c>
      <x:c r="D197" s="2" t="str">
        <x:v>Leche Hershey's 200 ml</x:v>
      </x:c>
      <x:c r="E197" s="2" t="str">
        <x:v>Leche Hershey's 200 ml</x:v>
      </x:c>
      <x:c r="F197" s="2"/>
      <x:c r="G197" s="2" t="str">
        <x:v>Pieza</x:v>
      </x:c>
      <x:c r="H197" s="9" t="n">
        <x:v>1</x:v>
      </x:c>
      <x:c r="I197" s="7" t="n">
        <x:v>14</x:v>
      </x:c>
      <x:c r="J197" s="7" t="n">
        <x:v>17</x:v>
      </x:c>
      <x:c r="K197" s="7" t="n">
        <x:f>ROUND(ROUND(I197*100,0)/H197,0)/100</x:f>
        <x:v>14</x:v>
      </x:c>
      <x:c r="L197" s="7"/>
      <x:c r="M197" s="12"/>
      <x:c r="N197" s="2" t="str">
        <x:v>Desde 7 de septiembre de 2026</x:v>
      </x:c>
    </x:row>
    <x:row r="198" ht="24" customHeight="1">
      <x:c r="A198" s="9" t="n">
        <x:v>178</x:v>
      </x:c>
      <x:c r="B198" s="9" t="n">
        <x:v>3</x:v>
      </x:c>
      <x:c r="C198" s="2" t="str">
        <x:v>Danone</x:v>
      </x:c>
      <x:c r="D198" s="2" t="str">
        <x:v>Ocean Spray 1 L</x:v>
      </x:c>
      <x:c r="E198" s="2" t="str">
        <x:v>Ocean Spray 1 L</x:v>
      </x:c>
      <x:c r="F198" s="2"/>
      <x:c r="G198" s="2" t="str">
        <x:v>Pieza</x:v>
      </x:c>
      <x:c r="H198" s="9" t="n">
        <x:v>1</x:v>
      </x:c>
      <x:c r="I198" s="7" t="n">
        <x:v>35</x:v>
      </x:c>
      <x:c r="J198" s="7" t="n">
        <x:v>43</x:v>
      </x:c>
      <x:c r="K198" s="7" t="n">
        <x:f>ROUND(ROUND(I198*100,0)/H198,0)/100</x:f>
        <x:v>35</x:v>
      </x:c>
      <x:c r="L198" s="7"/>
      <x:c r="M198" s="12"/>
      <x:c r="N198" s="2" t="str">
        <x:v>Desde 7 de septiembre de 2026</x:v>
      </x:c>
    </x:row>
    <x:row r="199" ht="24" customHeight="1">
      <x:c r="A199" s="9" t="n">
        <x:v>179</x:v>
      </x:c>
      <x:c r="B199" s="9" t="n">
        <x:v>3</x:v>
      </x:c>
      <x:c r="C199" s="2" t="str">
        <x:v>Danone</x:v>
      </x:c>
      <x:c r="D199" s="2" t="str">
        <x:v>Silk 946 ml</x:v>
      </x:c>
      <x:c r="E199" s="2" t="str">
        <x:v>Silk 946 ml</x:v>
      </x:c>
      <x:c r="F199" s="2"/>
      <x:c r="G199" s="2" t="str">
        <x:v>Pieza</x:v>
      </x:c>
      <x:c r="H199" s="9" t="n">
        <x:v>1</x:v>
      </x:c>
      <x:c r="I199" s="7" t="n">
        <x:v>48</x:v>
      </x:c>
      <x:c r="J199" s="7" t="n">
        <x:v>57</x:v>
      </x:c>
      <x:c r="K199" s="7" t="n">
        <x:f>ROUND(ROUND(I199*100,0)/H199,0)/100</x:f>
        <x:v>48</x:v>
      </x:c>
      <x:c r="L199" s="7"/>
      <x:c r="M199" s="12"/>
      <x:c r="N199" s="2" t="str">
        <x:v>Desde 7 de septiembre de 2026</x:v>
      </x:c>
    </x:row>
  </x:sheetData>
  <x:conditionalFormatting sqref="M9:M199">
    <x:cfRule type="containsText" dxfId="0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7b3fe5d923784ecb"/>
  </x:tableParts>
</x:worksheet>
</file>